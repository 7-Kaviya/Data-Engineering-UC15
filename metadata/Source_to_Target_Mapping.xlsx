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lumn mapping" sheetId="2" state="visible" r:id="rId4"/>
    <sheet name="Table summary" sheetId="3" state="visible" r:id="rId5"/>
    <sheet name="Relationships" sheetId="4" state="visible" r:id="rId6"/>
  </sheets>
  <definedNames>
    <definedName function="false" hidden="true" localSheetId="1" name="_xlnm._FilterDatabase" vbProcedure="false">'Column mapping'!$A$4:$N$145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<sst xmlns="http://schemas.openxmlformats.org/spreadsheetml/2006/main" count="1850" uniqueCount="408">
  <si>
    <t xml:space="preserve">UC15 ERP Data Platform: Source-to-target mapping</t>
  </si>
  <si>
    <t xml:space="preserve">Purpose</t>
  </si>
  <si>
    <t xml:space="preserve">Shows, for every column in the PostgreSQL data warehouse (uc15_dw), where the data comes from and what is done to it on the way.</t>
  </si>
  <si>
    <t xml:space="preserve">Data path</t>
  </si>
  <si>
    <t xml:space="preserve">Raw file in datasets/  &gt;  cleaned file in silver/cleansing/  &gt;  Pentaho transformation  &gt;  warehouse table.</t>
  </si>
  <si>
    <t xml:space="preserve">Sheets</t>
  </si>
  <si>
    <t xml:space="preserve">Table summary: one row per table, in load order.   Column mapping: one row per column.   Relationships: the foreign keys between tables.</t>
  </si>
  <si>
    <t xml:space="preserve">How it was produced</t>
  </si>
  <si>
    <t xml:space="preserve">Generated from the table definitions (sql/01_create_star_schema.sql), the 15 Pentaho transformations in pentaho/transformations/, and the headers of the raw and cleaned files. It is not typed by hand.</t>
  </si>
  <si>
    <t xml:space="preserve">Row counts</t>
  </si>
  <si>
    <t xml:space="preserve">The Rows loaded values are the counts that sql/05_reconciliation_checks.sql confirms after each load.</t>
  </si>
  <si>
    <t xml:space="preserve">Scope</t>
  </si>
  <si>
    <t xml:space="preserve">Covers the 15 warehouse tables. The real-time REST API demo (realtime_rest_demo) and the ETL audit table (etl_run_log) are separate and are not mapped here.</t>
  </si>
  <si>
    <t xml:space="preserve">Checks</t>
  </si>
  <si>
    <t xml:space="preserve">Tables documented</t>
  </si>
  <si>
    <t xml:space="preserve">Columns documented</t>
  </si>
  <si>
    <t xml:space="preserve">Columns counted per table</t>
  </si>
  <si>
    <t xml:space="preserve">Foreign keys listed</t>
  </si>
  <si>
    <t xml:space="preserve">Counts agree?</t>
  </si>
  <si>
    <t xml:space="preserve">Legend (Key / constraint)</t>
  </si>
  <si>
    <t xml:space="preserve">PK</t>
  </si>
  <si>
    <t xml:space="preserve">Primary key of the table</t>
  </si>
  <si>
    <t xml:space="preserve">FK to X.y</t>
  </si>
  <si>
    <t xml:space="preserve">Foreign key: must match column y in table X</t>
  </si>
  <si>
    <t xml:space="preserve">Unique</t>
  </si>
  <si>
    <t xml:space="preserve">No two rows can have the same value</t>
  </si>
  <si>
    <t xml:space="preserve">Not null</t>
  </si>
  <si>
    <t xml:space="preserve">The column cannot be empty</t>
  </si>
  <si>
    <t xml:space="preserve">Source-to-target mapping: every column of every warehouse table</t>
  </si>
  <si>
    <t xml:space="preserve">One row per target column. Read left to right: where it comes from (raw file, cleaned file), what was done to it, and how Pentaho loads it.</t>
  </si>
  <si>
    <t xml:space="preserve">#</t>
  </si>
  <si>
    <t xml:space="preserve">Target table</t>
  </si>
  <si>
    <t xml:space="preserve">Target column</t>
  </si>
  <si>
    <t xml:space="preserve">Data type</t>
  </si>
  <si>
    <t xml:space="preserve">Key / constraint</t>
  </si>
  <si>
    <t xml:space="preserve">Source dataset</t>
  </si>
  <si>
    <t xml:space="preserve">Raw file (datasets/)</t>
  </si>
  <si>
    <t xml:space="preserve">Raw column</t>
  </si>
  <si>
    <t xml:space="preserve">Cleaned file (silver/)</t>
  </si>
  <si>
    <t xml:space="preserve">Cleaned column</t>
  </si>
  <si>
    <t xml:space="preserve">Cleaning applied</t>
  </si>
  <si>
    <t xml:space="preserve">Transformation rule (Pentaho)</t>
  </si>
  <si>
    <t xml:space="preserve">Pentaho transformation</t>
  </si>
  <si>
    <t xml:space="preserve">Notes from the table definition</t>
  </si>
  <si>
    <t xml:space="preserve">DimMonth</t>
  </si>
  <si>
    <t xml:space="preserve">month_key</t>
  </si>
  <si>
    <t xml:space="preserve">SMALLINT</t>
  </si>
  <si>
    <t xml:space="preserve">Month list (generated)</t>
  </si>
  <si>
    <t xml:space="preserve">(generated by python/generate_reference_data.py)</t>
  </si>
  <si>
    <t xml:space="preserve">silver/cleansing/reference_data/DimMonth.csv</t>
  </si>
  <si>
    <t xml:space="preserve">Not applicable</t>
  </si>
  <si>
    <t xml:space="preserve">Copied as is.</t>
  </si>
  <si>
    <t xml:space="preserve">Load DimMonth.ktr</t>
  </si>
  <si>
    <t xml:space="preserve">1-12, no year (seasonal pattern only)</t>
  </si>
  <si>
    <t xml:space="preserve">month_name</t>
  </si>
  <si>
    <t xml:space="preserve">VARCHAR(15)</t>
  </si>
  <si>
    <t xml:space="preserve">DimDate</t>
  </si>
  <si>
    <t xml:space="preserve">date_key</t>
  </si>
  <si>
    <t xml:space="preserve">INT</t>
  </si>
  <si>
    <t xml:space="preserve">Calendar (generated)</t>
  </si>
  <si>
    <t xml:space="preserve">silver/cleansing/reference_data/DimDate.csv</t>
  </si>
  <si>
    <t xml:space="preserve">Load DimDate.ktr</t>
  </si>
  <si>
    <t xml:space="preserve">format YYYYMMDD</t>
  </si>
  <si>
    <t xml:space="preserve">full_date</t>
  </si>
  <si>
    <t xml:space="preserve">DATE</t>
  </si>
  <si>
    <t xml:space="preserve">Read as a date (yyyy-MM-dd).</t>
  </si>
  <si>
    <t xml:space="preserve">year</t>
  </si>
  <si>
    <t xml:space="preserve">quarter</t>
  </si>
  <si>
    <t xml:space="preserve">month</t>
  </si>
  <si>
    <t xml:space="preserve">day</t>
  </si>
  <si>
    <t xml:space="preserve">day_of_week</t>
  </si>
  <si>
    <t xml:space="preserve">1=Monday .. 7=Sunday</t>
  </si>
  <si>
    <t xml:space="preserve">day_name</t>
  </si>
  <si>
    <t xml:space="preserve">is_weekend</t>
  </si>
  <si>
    <t xml:space="preserve">BOOLEAN</t>
  </si>
  <si>
    <t xml:space="preserve">week_of_year</t>
  </si>
  <si>
    <t xml:space="preserve">DimEmployee</t>
  </si>
  <si>
    <t xml:space="preserve">employee_key</t>
  </si>
  <si>
    <t xml:space="preserve">SERIAL</t>
  </si>
  <si>
    <t xml:space="preserve">Employee</t>
  </si>
  <si>
    <t xml:space="preserve">datasets/employee_data.xls</t>
  </si>
  <si>
    <t xml:space="preserve">(none)</t>
  </si>
  <si>
    <t xml:space="preserve">silver/cleansing/cleaned_datasets/employee_data_cleaned.csv</t>
  </si>
  <si>
    <t xml:space="preserve">Generated by PostgreSQL: a sequence number (surrogate key).</t>
  </si>
  <si>
    <t xml:space="preserve">Load DimEmployee.ktr</t>
  </si>
  <si>
    <t xml:space="preserve">generated: source has</t>
  </si>
  <si>
    <t xml:space="preserve">first_name</t>
  </si>
  <si>
    <t xml:space="preserve">VARCHAR(100)</t>
  </si>
  <si>
    <t xml:space="preserve">First Name</t>
  </si>
  <si>
    <t xml:space="preserve">Name standardised (lower case, underscores)</t>
  </si>
  <si>
    <t xml:space="preserve">last_name</t>
  </si>
  <si>
    <t xml:space="preserve">Last Name</t>
  </si>
  <si>
    <t xml:space="preserve">gender</t>
  </si>
  <si>
    <t xml:space="preserve">VARCHAR(20)</t>
  </si>
  <si>
    <t xml:space="preserve">Gender</t>
  </si>
  <si>
    <t xml:space="preserve">age</t>
  </si>
  <si>
    <t xml:space="preserve">Age</t>
  </si>
  <si>
    <t xml:space="preserve">salary</t>
  </si>
  <si>
    <t xml:space="preserve">NUMERIC(12,2)</t>
  </si>
  <si>
    <t xml:space="preserve">Salary</t>
  </si>
  <si>
    <t xml:space="preserve">expenditure</t>
  </si>
  <si>
    <t xml:space="preserve">Expenditure</t>
  </si>
  <si>
    <t xml:space="preserve">savings</t>
  </si>
  <si>
    <t xml:space="preserve">Savings</t>
  </si>
  <si>
    <t xml:space="preserve">expenditure_percentage</t>
  </si>
  <si>
    <t xml:space="preserve">NUMERIC(6,4)</t>
  </si>
  <si>
    <t xml:space="preserve">Expenditure Percentage</t>
  </si>
  <si>
    <t xml:space="preserve">savings_percentage</t>
  </si>
  <si>
    <t xml:space="preserve">Savings Percentage</t>
  </si>
  <si>
    <t xml:space="preserve">DimAsset</t>
  </si>
  <si>
    <t xml:space="preserve">asset_key</t>
  </si>
  <si>
    <t xml:space="preserve">Asset</t>
  </si>
  <si>
    <t xml:space="preserve">datasets/Asset_data.xml</t>
  </si>
  <si>
    <t xml:space="preserve">silver/cleansing/cleaned_datasets/asset_data_cleaned.csv</t>
  </si>
  <si>
    <t xml:space="preserve">Load DimAsset.ktr</t>
  </si>
  <si>
    <t xml:space="preserve">asset_id</t>
  </si>
  <si>
    <t xml:space="preserve">Unique, Not null</t>
  </si>
  <si>
    <t xml:space="preserve">Name unchanged</t>
  </si>
  <si>
    <t xml:space="preserve">location</t>
  </si>
  <si>
    <t xml:space="preserve">install_year</t>
  </si>
  <si>
    <t xml:space="preserve">last_maintenance_year</t>
  </si>
  <si>
    <t xml:space="preserve">usage_hours_per_month</t>
  </si>
  <si>
    <t xml:space="preserve">NUMERIC(10,2)</t>
  </si>
  <si>
    <t xml:space="preserve">failure_count</t>
  </si>
  <si>
    <t xml:space="preserve">condition_score</t>
  </si>
  <si>
    <t xml:space="preserve">maintenance_cost_last_year</t>
  </si>
  <si>
    <t xml:space="preserve">asset_type</t>
  </si>
  <si>
    <t xml:space="preserve">VARCHAR(50)</t>
  </si>
  <si>
    <t xml:space="preserve">operational_state</t>
  </si>
  <si>
    <t xml:space="preserve">VARCHAR(30)</t>
  </si>
  <si>
    <t xml:space="preserve">disposal_decision</t>
  </si>
  <si>
    <t xml:space="preserve">DimSupplier</t>
  </si>
  <si>
    <t xml:space="preserve">supplier_key</t>
  </si>
  <si>
    <t xml:space="preserve">Procurement</t>
  </si>
  <si>
    <t xml:space="preserve">datasets/procurement_all.csv</t>
  </si>
  <si>
    <t xml:space="preserve">silver/cleansing/cleaned_datasets/procurement_all_cleaned.csv</t>
  </si>
  <si>
    <t xml:space="preserve">Load DimSupplier.ktr</t>
  </si>
  <si>
    <t xml:space="preserve">supplier_id</t>
  </si>
  <si>
    <t xml:space="preserve">Each different supplier_id in the file is kept once (duplicates removed).</t>
  </si>
  <si>
    <t xml:space="preserve">DimCustomerMaster</t>
  </si>
  <si>
    <t xml:space="preserve">customer_key</t>
  </si>
  <si>
    <t xml:space="preserve">Customer Master</t>
  </si>
  <si>
    <t xml:space="preserve">datasets/Customer_Master.json</t>
  </si>
  <si>
    <t xml:space="preserve">silver/cleansing/cleaned_datasets/customer_master_cleaned.csv</t>
  </si>
  <si>
    <t xml:space="preserve">Load DimCustomerMaster.ktr</t>
  </si>
  <si>
    <t xml:space="preserve">customer_id</t>
  </si>
  <si>
    <t xml:space="preserve">customer_name</t>
  </si>
  <si>
    <t xml:space="preserve">VARCHAR(150)</t>
  </si>
  <si>
    <t xml:space="preserve">email</t>
  </si>
  <si>
    <t xml:space="preserve">contact (nested JSON)</t>
  </si>
  <si>
    <t xml:space="preserve">contact</t>
  </si>
  <si>
    <t xml:space="preserve">Nested JSON kept as JSON text in the cleaned file</t>
  </si>
  <si>
    <t xml:space="preserve">Taken from the JSON text in the contact column using the path $.email.</t>
  </si>
  <si>
    <t xml:space="preserve">parsed from source JSON `contact` field</t>
  </si>
  <si>
    <t xml:space="preserve">phone</t>
  </si>
  <si>
    <t xml:space="preserve">Taken from the JSON text in the contact column using the path $.phone.</t>
  </si>
  <si>
    <t xml:space="preserve">city</t>
  </si>
  <si>
    <t xml:space="preserve">address (nested JSON)</t>
  </si>
  <si>
    <t xml:space="preserve">address</t>
  </si>
  <si>
    <t xml:space="preserve">Taken from the JSON text in the address column using the path $.city.</t>
  </si>
  <si>
    <t xml:space="preserve">parsed from source JSON `address` field</t>
  </si>
  <si>
    <t xml:space="preserve">state</t>
  </si>
  <si>
    <t xml:space="preserve">Taken from the JSON text in the address column using the path $.state.</t>
  </si>
  <si>
    <t xml:space="preserve">country</t>
  </si>
  <si>
    <t xml:space="preserve">Taken from the JSON text in the address column using the path $.country.</t>
  </si>
  <si>
    <t xml:space="preserve">customer_type</t>
  </si>
  <si>
    <t xml:space="preserve">registration_date</t>
  </si>
  <si>
    <t xml:space="preserve">credit_limit</t>
  </si>
  <si>
    <t xml:space="preserve">NUMERIC(14,2)</t>
  </si>
  <si>
    <t xml:space="preserve">customer_status</t>
  </si>
  <si>
    <t xml:space="preserve">DimItemInventory</t>
  </si>
  <si>
    <t xml:space="preserve">item_key</t>
  </si>
  <si>
    <t xml:space="preserve">Inventory</t>
  </si>
  <si>
    <t xml:space="preserve">datasets/Inventory_data.json</t>
  </si>
  <si>
    <t xml:space="preserve">silver/cleansing/cleaned_datasets/inventory_data_cleaned.csv</t>
  </si>
  <si>
    <t xml:space="preserve">Load DimItemInventory.ktr</t>
  </si>
  <si>
    <t xml:space="preserve">item_id</t>
  </si>
  <si>
    <t xml:space="preserve">Item_ID</t>
  </si>
  <si>
    <t xml:space="preserve">item_name</t>
  </si>
  <si>
    <t xml:space="preserve">Item_Name</t>
  </si>
  <si>
    <t xml:space="preserve">category</t>
  </si>
  <si>
    <t xml:space="preserve">Category</t>
  </si>
  <si>
    <t xml:space="preserve">price_per_unit</t>
  </si>
  <si>
    <t xml:space="preserve">Price_Per_Unit</t>
  </si>
  <si>
    <t xml:space="preserve">DimWarehouseItem</t>
  </si>
  <si>
    <t xml:space="preserve">warehouse_item_key</t>
  </si>
  <si>
    <t xml:space="preserve">Warehouse</t>
  </si>
  <si>
    <t xml:space="preserve">datasets/warehouse.csv</t>
  </si>
  <si>
    <t xml:space="preserve">silver/cleansing/cleaned_datasets/warehouse_data_cleaned.csv</t>
  </si>
  <si>
    <t xml:space="preserve">Load DimWarehouseItem.ktr</t>
  </si>
  <si>
    <t xml:space="preserve">storage_location_id</t>
  </si>
  <si>
    <t xml:space="preserve">zone</t>
  </si>
  <si>
    <t xml:space="preserve">FactSales</t>
  </si>
  <si>
    <t xml:space="preserve">sales_key</t>
  </si>
  <si>
    <t xml:space="preserve">Sales</t>
  </si>
  <si>
    <t xml:space="preserve">datasets/Sales_data.csv</t>
  </si>
  <si>
    <t xml:space="preserve">silver/cleansing/cleaned_datasets/sales_data_cleaned.csv</t>
  </si>
  <si>
    <t xml:space="preserve">Load FactSales.ktr</t>
  </si>
  <si>
    <t xml:space="preserve">transaction_id</t>
  </si>
  <si>
    <t xml:space="preserve">Transaction ID</t>
  </si>
  <si>
    <t xml:space="preserve">Not null, FK to DimDate.date_key</t>
  </si>
  <si>
    <t xml:space="preserve">Date</t>
  </si>
  <si>
    <t xml:space="preserve">date</t>
  </si>
  <si>
    <t xml:space="preserve">Date converted to text yyyyMMdd, then to an integer. Joins to DimDate.date_key.</t>
  </si>
  <si>
    <t xml:space="preserve">Customer ID</t>
  </si>
  <si>
    <t xml:space="preserve">degenerate: does not match any other module</t>
  </si>
  <si>
    <t xml:space="preserve">product_category</t>
  </si>
  <si>
    <t xml:space="preserve">Product Category</t>
  </si>
  <si>
    <t xml:space="preserve">degenerate: no product master exists</t>
  </si>
  <si>
    <t xml:space="preserve">quantity</t>
  </si>
  <si>
    <t xml:space="preserve">Quantity</t>
  </si>
  <si>
    <t xml:space="preserve">Price per Unit</t>
  </si>
  <si>
    <t xml:space="preserve">total_amount</t>
  </si>
  <si>
    <t xml:space="preserve">Total Amount</t>
  </si>
  <si>
    <t xml:space="preserve">daily_percent_change</t>
  </si>
  <si>
    <t xml:space="preserve">NUMERIC(10,6)</t>
  </si>
  <si>
    <t xml:space="preserve">Daily Percent Change</t>
  </si>
  <si>
    <t xml:space="preserve">FactFinance</t>
  </si>
  <si>
    <t xml:space="preserve">finance_key</t>
  </si>
  <si>
    <t xml:space="preserve">Finance</t>
  </si>
  <si>
    <t xml:space="preserve">datasets/Finance_data.csv</t>
  </si>
  <si>
    <t xml:space="preserve">silver/cleansing/cleaned_datasets/finance_data_cleaned.csv</t>
  </si>
  <si>
    <t xml:space="preserve">Load FactFinance.ktr</t>
  </si>
  <si>
    <t xml:space="preserve">account_type</t>
  </si>
  <si>
    <t xml:space="preserve">Account Type</t>
  </si>
  <si>
    <t xml:space="preserve">transaction_amount</t>
  </si>
  <si>
    <t xml:space="preserve">Transaction Amount</t>
  </si>
  <si>
    <t xml:space="preserve">cash_flow</t>
  </si>
  <si>
    <t xml:space="preserve">Cash Flow</t>
  </si>
  <si>
    <t xml:space="preserve">net_income</t>
  </si>
  <si>
    <t xml:space="preserve">Net Income</t>
  </si>
  <si>
    <t xml:space="preserve">revenue</t>
  </si>
  <si>
    <t xml:space="preserve">Revenue</t>
  </si>
  <si>
    <t xml:space="preserve">profit_margin</t>
  </si>
  <si>
    <t xml:space="preserve">NUMERIC(8,4)</t>
  </si>
  <si>
    <t xml:space="preserve">Profit Margin</t>
  </si>
  <si>
    <t xml:space="preserve">gross_profit</t>
  </si>
  <si>
    <t xml:space="preserve">Gross Profit</t>
  </si>
  <si>
    <t xml:space="preserve">transaction_volume</t>
  </si>
  <si>
    <t xml:space="preserve">Transaction Volume</t>
  </si>
  <si>
    <t xml:space="preserve">accuracy_score</t>
  </si>
  <si>
    <t xml:space="preserve">Accuracy Score</t>
  </si>
  <si>
    <t xml:space="preserve">FactManufacturing</t>
  </si>
  <si>
    <t xml:space="preserve">job_key</t>
  </si>
  <si>
    <t xml:space="preserve">Manufacturing</t>
  </si>
  <si>
    <t xml:space="preserve">datasets/Manufacturing_data.xml</t>
  </si>
  <si>
    <t xml:space="preserve">silver/cleansing/cleaned_datasets/manufacturing_data_cleaned.csv</t>
  </si>
  <si>
    <t xml:space="preserve">Load FactManufacturing.ktr</t>
  </si>
  <si>
    <t xml:space="preserve">job_id</t>
  </si>
  <si>
    <t xml:space="preserve">Job_ID</t>
  </si>
  <si>
    <t xml:space="preserve">scheduled_start_date_key</t>
  </si>
  <si>
    <t xml:space="preserve">Scheduled_Start</t>
  </si>
  <si>
    <t xml:space="preserve">scheduled_start</t>
  </si>
  <si>
    <t xml:space="preserve">actual_start_date_key</t>
  </si>
  <si>
    <t xml:space="preserve">FK to DimDate.date_key</t>
  </si>
  <si>
    <t xml:space="preserve">Actual_Start</t>
  </si>
  <si>
    <t xml:space="preserve">actual_start</t>
  </si>
  <si>
    <t xml:space="preserve">Date converted to text yyyyMMdd, then to an integer. Joins to DimDate.date_key. Empty when the source date is empty.</t>
  </si>
  <si>
    <t xml:space="preserve">NULLABLE:</t>
  </si>
  <si>
    <t xml:space="preserve">machine_id</t>
  </si>
  <si>
    <t xml:space="preserve">Machine_ID</t>
  </si>
  <si>
    <t xml:space="preserve">degenerate: only 5 distinct</t>
  </si>
  <si>
    <t xml:space="preserve">operation_type</t>
  </si>
  <si>
    <t xml:space="preserve">Operation_Type</t>
  </si>
  <si>
    <t xml:space="preserve">job_status</t>
  </si>
  <si>
    <t xml:space="preserve">Job_Status</t>
  </si>
  <si>
    <t xml:space="preserve">optimization_category</t>
  </si>
  <si>
    <t xml:space="preserve">Optimization_Category</t>
  </si>
  <si>
    <t xml:space="preserve">material_used</t>
  </si>
  <si>
    <t xml:space="preserve">Material_Used</t>
  </si>
  <si>
    <t xml:space="preserve">processing_time</t>
  </si>
  <si>
    <t xml:space="preserve">Processing_Time</t>
  </si>
  <si>
    <t xml:space="preserve">energy_consumption</t>
  </si>
  <si>
    <t xml:space="preserve">Energy_Consumption</t>
  </si>
  <si>
    <t xml:space="preserve">machine_availability</t>
  </si>
  <si>
    <t xml:space="preserve">NUMERIC(6,2)</t>
  </si>
  <si>
    <t xml:space="preserve">Machine_Availability</t>
  </si>
  <si>
    <t xml:space="preserve">FactAccountsReceivable</t>
  </si>
  <si>
    <t xml:space="preserve">ar_key</t>
  </si>
  <si>
    <t xml:space="preserve">Account (Accounts Receivable)</t>
  </si>
  <si>
    <t xml:space="preserve">datasets/Account_data.xls</t>
  </si>
  <si>
    <t xml:space="preserve">silver/cleansing/cleaned_datasets/account_data_cleaned.csv</t>
  </si>
  <si>
    <t xml:space="preserve">Load FactAccountsReceivable.ktr</t>
  </si>
  <si>
    <t xml:space="preserve">document_no</t>
  </si>
  <si>
    <t xml:space="preserve">Document_No</t>
  </si>
  <si>
    <t xml:space="preserve">doc_date_key</t>
  </si>
  <si>
    <t xml:space="preserve">Doc_Date</t>
  </si>
  <si>
    <t xml:space="preserve">doc_date</t>
  </si>
  <si>
    <t xml:space="preserve">net_due_date_key</t>
  </si>
  <si>
    <t xml:space="preserve">Net_Due_Date</t>
  </si>
  <si>
    <t xml:space="preserve">net_due_date</t>
  </si>
  <si>
    <t xml:space="preserve">clearing_date_key</t>
  </si>
  <si>
    <t xml:space="preserve">Clearing_date</t>
  </si>
  <si>
    <t xml:space="preserve">clearing_date</t>
  </si>
  <si>
    <t xml:space="preserve">cust_num</t>
  </si>
  <si>
    <t xml:space="preserve">Cust_Num</t>
  </si>
  <si>
    <t xml:space="preserve">degenerate: does not match DimCustomerMaster</t>
  </si>
  <si>
    <t xml:space="preserve">payment_method_description</t>
  </si>
  <si>
    <t xml:space="preserve">Payment_Method_description</t>
  </si>
  <si>
    <t xml:space="preserve">region</t>
  </si>
  <si>
    <t xml:space="preserve">Region</t>
  </si>
  <si>
    <t xml:space="preserve">City</t>
  </si>
  <si>
    <t xml:space="preserve">payment_term</t>
  </si>
  <si>
    <t xml:space="preserve">Payment_Term</t>
  </si>
  <si>
    <t xml:space="preserve">delayflag</t>
  </si>
  <si>
    <t xml:space="preserve">VARCHAR(10)</t>
  </si>
  <si>
    <t xml:space="preserve">DelayFlag</t>
  </si>
  <si>
    <t xml:space="preserve">amount</t>
  </si>
  <si>
    <t xml:space="preserve">Amount</t>
  </si>
  <si>
    <t xml:space="preserve">days_overdue_delay</t>
  </si>
  <si>
    <t xml:space="preserve">Days_Overdue_Delay</t>
  </si>
  <si>
    <t xml:space="preserve">no_of_orders_by_customer</t>
  </si>
  <si>
    <t xml:space="preserve">No_of_orders_by_customer</t>
  </si>
  <si>
    <t xml:space="preserve">FactProcurement</t>
  </si>
  <si>
    <t xml:space="preserve">procurement_key</t>
  </si>
  <si>
    <t xml:space="preserve">Load FactProcurement.ktr</t>
  </si>
  <si>
    <t xml:space="preserve">purchase_order_id</t>
  </si>
  <si>
    <t xml:space="preserve">order_date_key</t>
  </si>
  <si>
    <t xml:space="preserve">order_date</t>
  </si>
  <si>
    <t xml:space="preserve">expected_delivery_date_key</t>
  </si>
  <si>
    <t xml:space="preserve">expected_delivery</t>
  </si>
  <si>
    <t xml:space="preserve">Not null, FK to DimSupplier.supplier_key</t>
  </si>
  <si>
    <t xml:space="preserve">Looked up in DimSupplier: the row where DimSupplier.supplier_id equals this record's supplier_id; its key is stored here.</t>
  </si>
  <si>
    <t xml:space="preserve">supplier_name</t>
  </si>
  <si>
    <t xml:space="preserve">degenerate, varies per PO, see note above</t>
  </si>
  <si>
    <t xml:space="preserve">degenerate: no shared product master</t>
  </si>
  <si>
    <t xml:space="preserve">po_status</t>
  </si>
  <si>
    <t xml:space="preserve">unit_cost</t>
  </si>
  <si>
    <t xml:space="preserve">total_cost</t>
  </si>
  <si>
    <t xml:space="preserve">FactWarehouseSnapshot</t>
  </si>
  <si>
    <t xml:space="preserve">snapshot_key</t>
  </si>
  <si>
    <t xml:space="preserve">Load FactWarehouseSnapshot.ktr</t>
  </si>
  <si>
    <t xml:space="preserve">last_restock_date</t>
  </si>
  <si>
    <t xml:space="preserve">Not null, FK to DimWarehouseItem.warehouse_item_key</t>
  </si>
  <si>
    <t xml:space="preserve">Looked up in DimWarehouseItem: the row where DimWarehouseItem.item_id equals this record's item_id; its key is stored here.</t>
  </si>
  <si>
    <t xml:space="preserve">stock_level</t>
  </si>
  <si>
    <t xml:space="preserve">reorder_point</t>
  </si>
  <si>
    <t xml:space="preserve">lead_time_days</t>
  </si>
  <si>
    <t xml:space="preserve">daily_demand</t>
  </si>
  <si>
    <t xml:space="preserve">picking_time_seconds</t>
  </si>
  <si>
    <t xml:space="preserve">handling_cost_per_unit</t>
  </si>
  <si>
    <t xml:space="preserve">unit_price</t>
  </si>
  <si>
    <t xml:space="preserve">holding_cost_per_unit_day</t>
  </si>
  <si>
    <t xml:space="preserve">NUMERIC(10,4)</t>
  </si>
  <si>
    <t xml:space="preserve">stockout_count_last_month</t>
  </si>
  <si>
    <t xml:space="preserve">order_fulfillment_rate</t>
  </si>
  <si>
    <t xml:space="preserve">total_orders_last_month</t>
  </si>
  <si>
    <t xml:space="preserve">turnover_ratio</t>
  </si>
  <si>
    <t xml:space="preserve">forecasted_demand_next_7d</t>
  </si>
  <si>
    <t xml:space="preserve">kpi_score</t>
  </si>
  <si>
    <t xml:space="preserve">FactInventoryDemand</t>
  </si>
  <si>
    <t xml:space="preserve">PK, FK to DimItemInventory.item_key</t>
  </si>
  <si>
    <t xml:space="preserve">Looked up in DimItemInventory: the row where DimItemInventory.item_id equals this record's item_id; its key is stored here.</t>
  </si>
  <si>
    <t xml:space="preserve">Load FactInventoryDemand.ktr</t>
  </si>
  <si>
    <t xml:space="preserve">PK, FK to DimMonth.month_key</t>
  </si>
  <si>
    <t xml:space="preserve">Month number 1 to 12 that the demand value came from; read as an integer.</t>
  </si>
  <si>
    <t xml:space="preserve">units_demanded</t>
  </si>
  <si>
    <t xml:space="preserve">Jan_Demand ... Dec_Demand</t>
  </si>
  <si>
    <t xml:space="preserve">jan_demand ... dec_demand</t>
  </si>
  <si>
    <t xml:space="preserve">Names standardised</t>
  </si>
  <si>
    <t xml:space="preserve">The 12 monthly demand columns become 12 rows per item (row normaliser); each month's value is stored here.</t>
  </si>
  <si>
    <t xml:space="preserve">Table summary: the 15 warehouse tables in the order the Pentaho job loads them</t>
  </si>
  <si>
    <t xml:space="preserve">Rows loaded are the counts confirmed by sql/05_reconciliation_checks.sql. Columns is a formula that counts the rows of the Column mapping sheet.</t>
  </si>
  <si>
    <t xml:space="preserve">Load order</t>
  </si>
  <si>
    <t xml:space="preserve">Type</t>
  </si>
  <si>
    <t xml:space="preserve">One row is</t>
  </si>
  <si>
    <t xml:space="preserve">Depends on (loaded first)</t>
  </si>
  <si>
    <t xml:space="preserve">Rows loaded</t>
  </si>
  <si>
    <t xml:space="preserve">Columns</t>
  </si>
  <si>
    <t xml:space="preserve">Cleaning applied in the Silver layer</t>
  </si>
  <si>
    <t xml:space="preserve">Dimension</t>
  </si>
  <si>
    <t xml:space="preserve">One month of the year (1 to 12)</t>
  </si>
  <si>
    <t xml:space="preserve">None</t>
  </si>
  <si>
    <t xml:space="preserve">Calendar generated by a script; not from a source system</t>
  </si>
  <si>
    <t xml:space="preserve">One calendar day, 2011-01-01 to 2027-12-31</t>
  </si>
  <si>
    <t xml:space="preserve">One employee</t>
  </si>
  <si>
    <t xml:space="preserve">Names standardised; types converted; no rows removed</t>
  </si>
  <si>
    <t xml:space="preserve">One piece of equipment</t>
  </si>
  <si>
    <t xml:space="preserve">One supplier (ID only)</t>
  </si>
  <si>
    <t xml:space="preserve">One customer</t>
  </si>
  <si>
    <t xml:space="preserve">Names standardised; nested contact and address kept as JSON text; no rows removed</t>
  </si>
  <si>
    <t xml:space="preserve">One inventory item</t>
  </si>
  <si>
    <t xml:space="preserve">One warehouse item</t>
  </si>
  <si>
    <t xml:space="preserve">Exact duplicate rows removed (6,408 raw rows became 3,204)</t>
  </si>
  <si>
    <t xml:space="preserve">Fact</t>
  </si>
  <si>
    <t xml:space="preserve">One sales transaction</t>
  </si>
  <si>
    <t xml:space="preserve">Dates converted from DD-MM-YYYY to YYYY-MM-DD; names standardised; no rows removed</t>
  </si>
  <si>
    <t xml:space="preserve">One finance transaction</t>
  </si>
  <si>
    <t xml:space="preserve">One production job</t>
  </si>
  <si>
    <t xml:space="preserve">Names standardised; dates converted; no rows removed</t>
  </si>
  <si>
    <t xml:space="preserve">One receivable document</t>
  </si>
  <si>
    <t xml:space="preserve">Names standardised; dates converted to YYYY-MM-DD; no rows removed</t>
  </si>
  <si>
    <t xml:space="preserve">One purchase order</t>
  </si>
  <si>
    <t xml:space="preserve">DimDate, DimSupplier</t>
  </si>
  <si>
    <t xml:space="preserve">One warehouse item stock snapshot</t>
  </si>
  <si>
    <t xml:space="preserve">DimDate, DimWarehouseItem</t>
  </si>
  <si>
    <t xml:space="preserve">One inventory item in one month</t>
  </si>
  <si>
    <t xml:space="preserve">DimItemInventory, DimMonth</t>
  </si>
  <si>
    <t xml:space="preserve">Total</t>
  </si>
  <si>
    <t xml:space="preserve">Relationships: foreign keys between the warehouse tables</t>
  </si>
  <si>
    <t xml:space="preserve">From the table definition (sql/01_create_star_schema.sql). Each row says: this column must match a key in another table.</t>
  </si>
  <si>
    <t xml:space="preserve">Fact / table</t>
  </si>
  <si>
    <t xml:space="preserve">Column</t>
  </si>
  <si>
    <t xml:space="preserve">References table</t>
  </si>
  <si>
    <t xml:space="preserve">References column</t>
  </si>
  <si>
    <t xml:space="preserve">Can be empty?</t>
  </si>
  <si>
    <t xml:space="preserve">No</t>
  </si>
  <si>
    <t xml:space="preserve">Yes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</si>
</sst>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424D"/>
        <bgColor rgb="FF003366"/>
      </patternFill>
    </fill>
    <fill>
      <patternFill patternType="solid">
        <fgColor rgb="FFF3F5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4424D"/>
          <bgColor rgb="FF000000"/>
        </patternFill>
      </fill>
    </dxf>
    <dxf>
      <fill>
        <patternFill patternType="solid">
          <fgColor rgb="FFF3F5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5F7"/>
      <rgbColor rgb="FFCCFFFF"/>
      <rgbColor rgb="FF660066"/>
      <rgbColor rgb="FFFF8080"/>
      <rgbColor rgb="FF0066CC"/>
      <rgbColor rgb="FFD5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42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3" customFormat="false" ht="23.8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23.85" hidden="false" customHeight="false" outlineLevel="0" collapsed="false">
      <c r="A5" s="2" t="s">
        <v>5</v>
      </c>
      <c r="B5" s="3" t="s">
        <v>6</v>
      </c>
    </row>
    <row r="6" customFormat="false" ht="23.85" hidden="false" customHeight="false" outlineLevel="0" collapsed="false">
      <c r="A6" s="2" t="s">
        <v>7</v>
      </c>
      <c r="B6" s="3" t="s">
        <v>8</v>
      </c>
    </row>
    <row r="7" customFormat="false" ht="15" hidden="false" customHeight="false" outlineLevel="0" collapsed="false">
      <c r="A7" s="2" t="s">
        <v>9</v>
      </c>
      <c r="B7" s="3" t="s">
        <v>10</v>
      </c>
    </row>
    <row r="8" customFormat="false" ht="23.85" hidden="false" customHeight="false" outlineLevel="0" collapsed="false">
      <c r="A8" s="2" t="s">
        <v>11</v>
      </c>
      <c r="B8" s="3" t="s">
        <v>12</v>
      </c>
    </row>
    <row r="10" customFormat="false" ht="15" hidden="false" customHeight="false" outlineLevel="0" collapsed="false">
      <c r="A10" s="4" t="s">
        <v>13</v>
      </c>
    </row>
    <row r="11" customFormat="false" ht="15" hidden="false" customHeight="false" outlineLevel="0" collapsed="false">
      <c r="A11" s="5" t="s">
        <v>14</v>
      </c>
      <c r="B11" s="6" t="n">
        <f aca="false">COUNTA('Table summary'!B5:B19)</f>
        <v>15</v>
      </c>
    </row>
    <row r="12" customFormat="false" ht="15" hidden="false" customHeight="false" outlineLevel="0" collapsed="false">
      <c r="A12" s="5" t="s">
        <v>15</v>
      </c>
      <c r="B12" s="6" t="n">
        <f aca="false">COUNTA('Column mapping'!C5:C145)</f>
        <v>141</v>
      </c>
    </row>
    <row r="13" customFormat="false" ht="15" hidden="false" customHeight="false" outlineLevel="0" collapsed="false">
      <c r="A13" s="5" t="s">
        <v>16</v>
      </c>
      <c r="B13" s="7" t="n">
        <f aca="false">'Table summary'!K20</f>
        <v>141</v>
      </c>
    </row>
    <row r="14" customFormat="false" ht="15" hidden="false" customHeight="false" outlineLevel="0" collapsed="false">
      <c r="A14" s="5" t="s">
        <v>17</v>
      </c>
      <c r="B14" s="6" t="n">
        <f aca="false">COUNTA(Relationships!B5:B18)</f>
        <v>14</v>
      </c>
    </row>
    <row r="15" customFormat="false" ht="15" hidden="false" customHeight="false" outlineLevel="0" collapsed="false">
      <c r="A15" s="5" t="s">
        <v>18</v>
      </c>
      <c r="B15" s="6" t="str">
        <f aca="false">IF(B12=B13,"Yes","CHECK")</f>
        <v>Yes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8" t="s">
        <v>20</v>
      </c>
      <c r="B18" s="5" t="s">
        <v>21</v>
      </c>
    </row>
    <row r="19" customFormat="false" ht="15" hidden="false" customHeight="false" outlineLevel="0" collapsed="false">
      <c r="A19" s="8" t="s">
        <v>22</v>
      </c>
      <c r="B19" s="5" t="s">
        <v>23</v>
      </c>
    </row>
    <row r="20" customFormat="false" ht="15" hidden="false" customHeight="false" outlineLevel="0" collapsed="false">
      <c r="A20" s="8" t="s">
        <v>24</v>
      </c>
      <c r="B20" s="5" t="s">
        <v>25</v>
      </c>
    </row>
    <row r="21" customFormat="false" ht="15" hidden="false" customHeight="false" outlineLevel="0" collapsed="false">
      <c r="A21" s="8" t="s">
        <v>26</v>
      </c>
      <c r="B21" s="5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6"/>
    <col collapsed="false" customWidth="true" hidden="false" outlineLevel="0" max="8" min="8" style="0" width="24"/>
    <col collapsed="false" customWidth="true" hidden="false" outlineLevel="0" max="9" min="9" style="0" width="50"/>
    <col collapsed="false" customWidth="true" hidden="false" outlineLevel="0" max="10" min="10" style="0" width="24"/>
    <col collapsed="false" customWidth="true" hidden="false" outlineLevel="0" max="11" min="11" style="0" width="34"/>
    <col collapsed="false" customWidth="true" hidden="false" outlineLevel="0" max="12" min="12" style="0" width="62"/>
    <col collapsed="false" customWidth="true" hidden="false" outlineLevel="0" max="13" min="13" style="0" width="32"/>
    <col collapsed="false" customWidth="true" hidden="false" outlineLevel="0" max="14" min="14" style="0" width="50"/>
  </cols>
  <sheetData>
    <row r="1" customFormat="false" ht="17.35" hidden="false" customHeight="false" outlineLevel="0" collapsed="false">
      <c r="A1" s="9" t="s">
        <v>28</v>
      </c>
    </row>
    <row r="2" customFormat="false" ht="15" hidden="false" customHeight="false" outlineLevel="0" collapsed="false">
      <c r="A2" s="10" t="s">
        <v>29</v>
      </c>
    </row>
    <row r="4" customFormat="false" ht="31.5" hidden="false" customHeight="true" outlineLevel="0" collapsed="false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  <c r="K4" s="11" t="s">
        <v>40</v>
      </c>
      <c r="L4" s="11" t="s">
        <v>41</v>
      </c>
      <c r="M4" s="11" t="s">
        <v>42</v>
      </c>
      <c r="N4" s="11" t="s">
        <v>43</v>
      </c>
    </row>
    <row r="5" customFormat="false" ht="35.05" hidden="false" customHeight="false" outlineLevel="0" collapsed="false">
      <c r="A5" s="12" t="n">
        <v>1</v>
      </c>
      <c r="B5" s="13" t="s">
        <v>44</v>
      </c>
      <c r="C5" s="13" t="s">
        <v>45</v>
      </c>
      <c r="D5" s="12" t="s">
        <v>46</v>
      </c>
      <c r="E5" s="12" t="s">
        <v>20</v>
      </c>
      <c r="F5" s="12" t="s">
        <v>47</v>
      </c>
      <c r="G5" s="12"/>
      <c r="H5" s="12" t="s">
        <v>48</v>
      </c>
      <c r="I5" s="12" t="s">
        <v>49</v>
      </c>
      <c r="J5" s="12"/>
      <c r="K5" s="12" t="s">
        <v>50</v>
      </c>
      <c r="L5" s="12" t="s">
        <v>51</v>
      </c>
      <c r="M5" s="12" t="s">
        <v>52</v>
      </c>
      <c r="N5" s="12" t="s">
        <v>53</v>
      </c>
    </row>
    <row r="6" customFormat="false" ht="35.05" hidden="false" customHeight="false" outlineLevel="0" collapsed="false">
      <c r="A6" s="12" t="n">
        <v>2</v>
      </c>
      <c r="B6" s="13" t="s">
        <v>44</v>
      </c>
      <c r="C6" s="13" t="s">
        <v>54</v>
      </c>
      <c r="D6" s="12" t="s">
        <v>55</v>
      </c>
      <c r="E6" s="12" t="s">
        <v>26</v>
      </c>
      <c r="F6" s="12" t="s">
        <v>47</v>
      </c>
      <c r="G6" s="12"/>
      <c r="H6" s="12" t="s">
        <v>48</v>
      </c>
      <c r="I6" s="12" t="s">
        <v>49</v>
      </c>
      <c r="J6" s="12"/>
      <c r="K6" s="12" t="s">
        <v>50</v>
      </c>
      <c r="L6" s="12" t="s">
        <v>51</v>
      </c>
      <c r="M6" s="12" t="s">
        <v>52</v>
      </c>
      <c r="N6" s="12"/>
    </row>
    <row r="7" customFormat="false" ht="35.05" hidden="false" customHeight="false" outlineLevel="0" collapsed="false">
      <c r="A7" s="14" t="n">
        <v>3</v>
      </c>
      <c r="B7" s="15" t="s">
        <v>56</v>
      </c>
      <c r="C7" s="15" t="s">
        <v>57</v>
      </c>
      <c r="D7" s="14" t="s">
        <v>58</v>
      </c>
      <c r="E7" s="14" t="s">
        <v>20</v>
      </c>
      <c r="F7" s="14" t="s">
        <v>59</v>
      </c>
      <c r="G7" s="14"/>
      <c r="H7" s="14" t="s">
        <v>48</v>
      </c>
      <c r="I7" s="14" t="s">
        <v>60</v>
      </c>
      <c r="J7" s="14"/>
      <c r="K7" s="14" t="s">
        <v>50</v>
      </c>
      <c r="L7" s="14" t="s">
        <v>51</v>
      </c>
      <c r="M7" s="14" t="s">
        <v>61</v>
      </c>
      <c r="N7" s="14" t="s">
        <v>62</v>
      </c>
    </row>
    <row r="8" customFormat="false" ht="35.05" hidden="false" customHeight="false" outlineLevel="0" collapsed="false">
      <c r="A8" s="14" t="n">
        <v>4</v>
      </c>
      <c r="B8" s="15" t="s">
        <v>56</v>
      </c>
      <c r="C8" s="15" t="s">
        <v>63</v>
      </c>
      <c r="D8" s="14" t="s">
        <v>64</v>
      </c>
      <c r="E8" s="14" t="s">
        <v>26</v>
      </c>
      <c r="F8" s="14" t="s">
        <v>59</v>
      </c>
      <c r="G8" s="14"/>
      <c r="H8" s="14" t="s">
        <v>48</v>
      </c>
      <c r="I8" s="14" t="s">
        <v>60</v>
      </c>
      <c r="J8" s="14"/>
      <c r="K8" s="14" t="s">
        <v>50</v>
      </c>
      <c r="L8" s="14" t="s">
        <v>65</v>
      </c>
      <c r="M8" s="14" t="s">
        <v>61</v>
      </c>
      <c r="N8" s="14"/>
    </row>
    <row r="9" customFormat="false" ht="35.05" hidden="false" customHeight="false" outlineLevel="0" collapsed="false">
      <c r="A9" s="14" t="n">
        <v>5</v>
      </c>
      <c r="B9" s="15" t="s">
        <v>56</v>
      </c>
      <c r="C9" s="15" t="s">
        <v>66</v>
      </c>
      <c r="D9" s="14" t="s">
        <v>46</v>
      </c>
      <c r="E9" s="14" t="s">
        <v>26</v>
      </c>
      <c r="F9" s="14" t="s">
        <v>59</v>
      </c>
      <c r="G9" s="14"/>
      <c r="H9" s="14" t="s">
        <v>48</v>
      </c>
      <c r="I9" s="14" t="s">
        <v>60</v>
      </c>
      <c r="J9" s="14"/>
      <c r="K9" s="14" t="s">
        <v>50</v>
      </c>
      <c r="L9" s="14" t="s">
        <v>51</v>
      </c>
      <c r="M9" s="14" t="s">
        <v>61</v>
      </c>
      <c r="N9" s="14"/>
    </row>
    <row r="10" customFormat="false" ht="35.05" hidden="false" customHeight="false" outlineLevel="0" collapsed="false">
      <c r="A10" s="14" t="n">
        <v>6</v>
      </c>
      <c r="B10" s="15" t="s">
        <v>56</v>
      </c>
      <c r="C10" s="15" t="s">
        <v>67</v>
      </c>
      <c r="D10" s="14" t="s">
        <v>46</v>
      </c>
      <c r="E10" s="14" t="s">
        <v>26</v>
      </c>
      <c r="F10" s="14" t="s">
        <v>59</v>
      </c>
      <c r="G10" s="14"/>
      <c r="H10" s="14" t="s">
        <v>48</v>
      </c>
      <c r="I10" s="14" t="s">
        <v>60</v>
      </c>
      <c r="J10" s="14"/>
      <c r="K10" s="14" t="s">
        <v>50</v>
      </c>
      <c r="L10" s="14" t="s">
        <v>51</v>
      </c>
      <c r="M10" s="14" t="s">
        <v>61</v>
      </c>
      <c r="N10" s="14"/>
    </row>
    <row r="11" customFormat="false" ht="35.05" hidden="false" customHeight="false" outlineLevel="0" collapsed="false">
      <c r="A11" s="14" t="n">
        <v>7</v>
      </c>
      <c r="B11" s="15" t="s">
        <v>56</v>
      </c>
      <c r="C11" s="15" t="s">
        <v>68</v>
      </c>
      <c r="D11" s="14" t="s">
        <v>46</v>
      </c>
      <c r="E11" s="14" t="s">
        <v>26</v>
      </c>
      <c r="F11" s="14" t="s">
        <v>59</v>
      </c>
      <c r="G11" s="14"/>
      <c r="H11" s="14" t="s">
        <v>48</v>
      </c>
      <c r="I11" s="14" t="s">
        <v>60</v>
      </c>
      <c r="J11" s="14"/>
      <c r="K11" s="14" t="s">
        <v>50</v>
      </c>
      <c r="L11" s="14" t="s">
        <v>51</v>
      </c>
      <c r="M11" s="14" t="s">
        <v>61</v>
      </c>
      <c r="N11" s="14"/>
    </row>
    <row r="12" customFormat="false" ht="35.05" hidden="false" customHeight="false" outlineLevel="0" collapsed="false">
      <c r="A12" s="14" t="n">
        <v>8</v>
      </c>
      <c r="B12" s="15" t="s">
        <v>56</v>
      </c>
      <c r="C12" s="15" t="s">
        <v>54</v>
      </c>
      <c r="D12" s="14" t="s">
        <v>55</v>
      </c>
      <c r="E12" s="14" t="s">
        <v>26</v>
      </c>
      <c r="F12" s="14" t="s">
        <v>59</v>
      </c>
      <c r="G12" s="14"/>
      <c r="H12" s="14" t="s">
        <v>48</v>
      </c>
      <c r="I12" s="14" t="s">
        <v>60</v>
      </c>
      <c r="J12" s="14"/>
      <c r="K12" s="14" t="s">
        <v>50</v>
      </c>
      <c r="L12" s="14" t="s">
        <v>51</v>
      </c>
      <c r="M12" s="14" t="s">
        <v>61</v>
      </c>
      <c r="N12" s="14"/>
    </row>
    <row r="13" customFormat="false" ht="35.05" hidden="false" customHeight="false" outlineLevel="0" collapsed="false">
      <c r="A13" s="14" t="n">
        <v>9</v>
      </c>
      <c r="B13" s="15" t="s">
        <v>56</v>
      </c>
      <c r="C13" s="15" t="s">
        <v>69</v>
      </c>
      <c r="D13" s="14" t="s">
        <v>46</v>
      </c>
      <c r="E13" s="14" t="s">
        <v>26</v>
      </c>
      <c r="F13" s="14" t="s">
        <v>59</v>
      </c>
      <c r="G13" s="14"/>
      <c r="H13" s="14" t="s">
        <v>48</v>
      </c>
      <c r="I13" s="14" t="s">
        <v>60</v>
      </c>
      <c r="J13" s="14"/>
      <c r="K13" s="14" t="s">
        <v>50</v>
      </c>
      <c r="L13" s="14" t="s">
        <v>51</v>
      </c>
      <c r="M13" s="14" t="s">
        <v>61</v>
      </c>
      <c r="N13" s="14"/>
    </row>
    <row r="14" customFormat="false" ht="35.05" hidden="false" customHeight="false" outlineLevel="0" collapsed="false">
      <c r="A14" s="14" t="n">
        <v>10</v>
      </c>
      <c r="B14" s="15" t="s">
        <v>56</v>
      </c>
      <c r="C14" s="15" t="s">
        <v>70</v>
      </c>
      <c r="D14" s="14" t="s">
        <v>46</v>
      </c>
      <c r="E14" s="14" t="s">
        <v>26</v>
      </c>
      <c r="F14" s="14" t="s">
        <v>59</v>
      </c>
      <c r="G14" s="14"/>
      <c r="H14" s="14" t="s">
        <v>48</v>
      </c>
      <c r="I14" s="14" t="s">
        <v>60</v>
      </c>
      <c r="J14" s="14"/>
      <c r="K14" s="14" t="s">
        <v>50</v>
      </c>
      <c r="L14" s="14" t="s">
        <v>51</v>
      </c>
      <c r="M14" s="14" t="s">
        <v>61</v>
      </c>
      <c r="N14" s="14" t="s">
        <v>71</v>
      </c>
    </row>
    <row r="15" customFormat="false" ht="35.05" hidden="false" customHeight="false" outlineLevel="0" collapsed="false">
      <c r="A15" s="14" t="n">
        <v>11</v>
      </c>
      <c r="B15" s="15" t="s">
        <v>56</v>
      </c>
      <c r="C15" s="15" t="s">
        <v>72</v>
      </c>
      <c r="D15" s="14" t="s">
        <v>55</v>
      </c>
      <c r="E15" s="14" t="s">
        <v>26</v>
      </c>
      <c r="F15" s="14" t="s">
        <v>59</v>
      </c>
      <c r="G15" s="14"/>
      <c r="H15" s="14" t="s">
        <v>48</v>
      </c>
      <c r="I15" s="14" t="s">
        <v>60</v>
      </c>
      <c r="J15" s="14"/>
      <c r="K15" s="14" t="s">
        <v>50</v>
      </c>
      <c r="L15" s="14" t="s">
        <v>51</v>
      </c>
      <c r="M15" s="14" t="s">
        <v>61</v>
      </c>
      <c r="N15" s="14"/>
    </row>
    <row r="16" customFormat="false" ht="35.05" hidden="false" customHeight="false" outlineLevel="0" collapsed="false">
      <c r="A16" s="14" t="n">
        <v>12</v>
      </c>
      <c r="B16" s="15" t="s">
        <v>56</v>
      </c>
      <c r="C16" s="15" t="s">
        <v>73</v>
      </c>
      <c r="D16" s="14" t="s">
        <v>74</v>
      </c>
      <c r="E16" s="14" t="s">
        <v>26</v>
      </c>
      <c r="F16" s="14" t="s">
        <v>59</v>
      </c>
      <c r="G16" s="14"/>
      <c r="H16" s="14" t="s">
        <v>48</v>
      </c>
      <c r="I16" s="14" t="s">
        <v>60</v>
      </c>
      <c r="J16" s="14"/>
      <c r="K16" s="14" t="s">
        <v>50</v>
      </c>
      <c r="L16" s="14" t="s">
        <v>51</v>
      </c>
      <c r="M16" s="14" t="s">
        <v>61</v>
      </c>
      <c r="N16" s="14"/>
    </row>
    <row r="17" customFormat="false" ht="35.05" hidden="false" customHeight="false" outlineLevel="0" collapsed="false">
      <c r="A17" s="14" t="n">
        <v>13</v>
      </c>
      <c r="B17" s="15" t="s">
        <v>56</v>
      </c>
      <c r="C17" s="15" t="s">
        <v>75</v>
      </c>
      <c r="D17" s="14" t="s">
        <v>46</v>
      </c>
      <c r="E17" s="14" t="s">
        <v>26</v>
      </c>
      <c r="F17" s="14" t="s">
        <v>59</v>
      </c>
      <c r="G17" s="14"/>
      <c r="H17" s="14" t="s">
        <v>48</v>
      </c>
      <c r="I17" s="14" t="s">
        <v>60</v>
      </c>
      <c r="J17" s="14"/>
      <c r="K17" s="14" t="s">
        <v>50</v>
      </c>
      <c r="L17" s="14" t="s">
        <v>51</v>
      </c>
      <c r="M17" s="14" t="s">
        <v>61</v>
      </c>
      <c r="N17" s="14"/>
    </row>
    <row r="18" customFormat="false" ht="23.85" hidden="false" customHeight="false" outlineLevel="0" collapsed="false">
      <c r="A18" s="12" t="n">
        <v>14</v>
      </c>
      <c r="B18" s="13" t="s">
        <v>76</v>
      </c>
      <c r="C18" s="13" t="s">
        <v>77</v>
      </c>
      <c r="D18" s="12" t="s">
        <v>78</v>
      </c>
      <c r="E18" s="12" t="s">
        <v>20</v>
      </c>
      <c r="F18" s="12" t="s">
        <v>79</v>
      </c>
      <c r="G18" s="12" t="s">
        <v>80</v>
      </c>
      <c r="H18" s="12" t="s">
        <v>81</v>
      </c>
      <c r="I18" s="12" t="s">
        <v>82</v>
      </c>
      <c r="J18" s="12"/>
      <c r="K18" s="12" t="s">
        <v>50</v>
      </c>
      <c r="L18" s="12" t="s">
        <v>83</v>
      </c>
      <c r="M18" s="12" t="s">
        <v>84</v>
      </c>
      <c r="N18" s="12" t="s">
        <v>85</v>
      </c>
    </row>
    <row r="19" customFormat="false" ht="23.85" hidden="false" customHeight="false" outlineLevel="0" collapsed="false">
      <c r="A19" s="12" t="n">
        <v>15</v>
      </c>
      <c r="B19" s="13" t="s">
        <v>76</v>
      </c>
      <c r="C19" s="13" t="s">
        <v>86</v>
      </c>
      <c r="D19" s="12" t="s">
        <v>87</v>
      </c>
      <c r="E19" s="12"/>
      <c r="F19" s="12" t="s">
        <v>79</v>
      </c>
      <c r="G19" s="12" t="s">
        <v>80</v>
      </c>
      <c r="H19" s="12" t="s">
        <v>88</v>
      </c>
      <c r="I19" s="12" t="s">
        <v>82</v>
      </c>
      <c r="J19" s="12" t="s">
        <v>86</v>
      </c>
      <c r="K19" s="12" t="s">
        <v>89</v>
      </c>
      <c r="L19" s="12" t="s">
        <v>51</v>
      </c>
      <c r="M19" s="12" t="s">
        <v>84</v>
      </c>
      <c r="N19" s="12"/>
    </row>
    <row r="20" customFormat="false" ht="23.85" hidden="false" customHeight="false" outlineLevel="0" collapsed="false">
      <c r="A20" s="12" t="n">
        <v>16</v>
      </c>
      <c r="B20" s="13" t="s">
        <v>76</v>
      </c>
      <c r="C20" s="13" t="s">
        <v>90</v>
      </c>
      <c r="D20" s="12" t="s">
        <v>87</v>
      </c>
      <c r="E20" s="12"/>
      <c r="F20" s="12" t="s">
        <v>79</v>
      </c>
      <c r="G20" s="12" t="s">
        <v>80</v>
      </c>
      <c r="H20" s="12" t="s">
        <v>91</v>
      </c>
      <c r="I20" s="12" t="s">
        <v>82</v>
      </c>
      <c r="J20" s="12" t="s">
        <v>90</v>
      </c>
      <c r="K20" s="12" t="s">
        <v>89</v>
      </c>
      <c r="L20" s="12" t="s">
        <v>51</v>
      </c>
      <c r="M20" s="12" t="s">
        <v>84</v>
      </c>
      <c r="N20" s="12"/>
    </row>
    <row r="21" customFormat="false" ht="23.85" hidden="false" customHeight="false" outlineLevel="0" collapsed="false">
      <c r="A21" s="12" t="n">
        <v>17</v>
      </c>
      <c r="B21" s="13" t="s">
        <v>76</v>
      </c>
      <c r="C21" s="13" t="s">
        <v>92</v>
      </c>
      <c r="D21" s="12" t="s">
        <v>93</v>
      </c>
      <c r="E21" s="12"/>
      <c r="F21" s="12" t="s">
        <v>79</v>
      </c>
      <c r="G21" s="12" t="s">
        <v>80</v>
      </c>
      <c r="H21" s="12" t="s">
        <v>94</v>
      </c>
      <c r="I21" s="12" t="s">
        <v>82</v>
      </c>
      <c r="J21" s="12" t="s">
        <v>92</v>
      </c>
      <c r="K21" s="12" t="s">
        <v>89</v>
      </c>
      <c r="L21" s="12" t="s">
        <v>51</v>
      </c>
      <c r="M21" s="12" t="s">
        <v>84</v>
      </c>
      <c r="N21" s="12"/>
    </row>
    <row r="22" customFormat="false" ht="23.85" hidden="false" customHeight="false" outlineLevel="0" collapsed="false">
      <c r="A22" s="12" t="n">
        <v>18</v>
      </c>
      <c r="B22" s="13" t="s">
        <v>76</v>
      </c>
      <c r="C22" s="13" t="s">
        <v>95</v>
      </c>
      <c r="D22" s="12" t="s">
        <v>46</v>
      </c>
      <c r="E22" s="12"/>
      <c r="F22" s="12" t="s">
        <v>79</v>
      </c>
      <c r="G22" s="12" t="s">
        <v>80</v>
      </c>
      <c r="H22" s="12" t="s">
        <v>96</v>
      </c>
      <c r="I22" s="12" t="s">
        <v>82</v>
      </c>
      <c r="J22" s="12" t="s">
        <v>95</v>
      </c>
      <c r="K22" s="12" t="s">
        <v>89</v>
      </c>
      <c r="L22" s="12" t="s">
        <v>51</v>
      </c>
      <c r="M22" s="12" t="s">
        <v>84</v>
      </c>
      <c r="N22" s="12"/>
    </row>
    <row r="23" customFormat="false" ht="23.85" hidden="false" customHeight="false" outlineLevel="0" collapsed="false">
      <c r="A23" s="12" t="n">
        <v>19</v>
      </c>
      <c r="B23" s="13" t="s">
        <v>76</v>
      </c>
      <c r="C23" s="13" t="s">
        <v>97</v>
      </c>
      <c r="D23" s="12" t="s">
        <v>98</v>
      </c>
      <c r="E23" s="12"/>
      <c r="F23" s="12" t="s">
        <v>79</v>
      </c>
      <c r="G23" s="12" t="s">
        <v>80</v>
      </c>
      <c r="H23" s="12" t="s">
        <v>99</v>
      </c>
      <c r="I23" s="12" t="s">
        <v>82</v>
      </c>
      <c r="J23" s="12" t="s">
        <v>97</v>
      </c>
      <c r="K23" s="12" t="s">
        <v>89</v>
      </c>
      <c r="L23" s="12" t="s">
        <v>51</v>
      </c>
      <c r="M23" s="12" t="s">
        <v>84</v>
      </c>
      <c r="N23" s="12"/>
    </row>
    <row r="24" customFormat="false" ht="23.85" hidden="false" customHeight="false" outlineLevel="0" collapsed="false">
      <c r="A24" s="12" t="n">
        <v>20</v>
      </c>
      <c r="B24" s="13" t="s">
        <v>76</v>
      </c>
      <c r="C24" s="13" t="s">
        <v>100</v>
      </c>
      <c r="D24" s="12" t="s">
        <v>98</v>
      </c>
      <c r="E24" s="12"/>
      <c r="F24" s="12" t="s">
        <v>79</v>
      </c>
      <c r="G24" s="12" t="s">
        <v>80</v>
      </c>
      <c r="H24" s="12" t="s">
        <v>101</v>
      </c>
      <c r="I24" s="12" t="s">
        <v>82</v>
      </c>
      <c r="J24" s="12" t="s">
        <v>100</v>
      </c>
      <c r="K24" s="12" t="s">
        <v>89</v>
      </c>
      <c r="L24" s="12" t="s">
        <v>51</v>
      </c>
      <c r="M24" s="12" t="s">
        <v>84</v>
      </c>
      <c r="N24" s="12"/>
    </row>
    <row r="25" customFormat="false" ht="23.85" hidden="false" customHeight="false" outlineLevel="0" collapsed="false">
      <c r="A25" s="12" t="n">
        <v>21</v>
      </c>
      <c r="B25" s="13" t="s">
        <v>76</v>
      </c>
      <c r="C25" s="13" t="s">
        <v>102</v>
      </c>
      <c r="D25" s="12" t="s">
        <v>98</v>
      </c>
      <c r="E25" s="12"/>
      <c r="F25" s="12" t="s">
        <v>79</v>
      </c>
      <c r="G25" s="12" t="s">
        <v>80</v>
      </c>
      <c r="H25" s="12" t="s">
        <v>103</v>
      </c>
      <c r="I25" s="12" t="s">
        <v>82</v>
      </c>
      <c r="J25" s="12" t="s">
        <v>102</v>
      </c>
      <c r="K25" s="12" t="s">
        <v>89</v>
      </c>
      <c r="L25" s="12" t="s">
        <v>51</v>
      </c>
      <c r="M25" s="12" t="s">
        <v>84</v>
      </c>
      <c r="N25" s="12"/>
    </row>
    <row r="26" customFormat="false" ht="23.85" hidden="false" customHeight="false" outlineLevel="0" collapsed="false">
      <c r="A26" s="12" t="n">
        <v>22</v>
      </c>
      <c r="B26" s="13" t="s">
        <v>76</v>
      </c>
      <c r="C26" s="13" t="s">
        <v>104</v>
      </c>
      <c r="D26" s="12" t="s">
        <v>105</v>
      </c>
      <c r="E26" s="12"/>
      <c r="F26" s="12" t="s">
        <v>79</v>
      </c>
      <c r="G26" s="12" t="s">
        <v>80</v>
      </c>
      <c r="H26" s="12" t="s">
        <v>106</v>
      </c>
      <c r="I26" s="12" t="s">
        <v>82</v>
      </c>
      <c r="J26" s="12" t="s">
        <v>104</v>
      </c>
      <c r="K26" s="12" t="s">
        <v>89</v>
      </c>
      <c r="L26" s="12" t="s">
        <v>51</v>
      </c>
      <c r="M26" s="12" t="s">
        <v>84</v>
      </c>
      <c r="N26" s="12"/>
    </row>
    <row r="27" customFormat="false" ht="23.85" hidden="false" customHeight="false" outlineLevel="0" collapsed="false">
      <c r="A27" s="12" t="n">
        <v>23</v>
      </c>
      <c r="B27" s="13" t="s">
        <v>76</v>
      </c>
      <c r="C27" s="13" t="s">
        <v>107</v>
      </c>
      <c r="D27" s="12" t="s">
        <v>105</v>
      </c>
      <c r="E27" s="12"/>
      <c r="F27" s="12" t="s">
        <v>79</v>
      </c>
      <c r="G27" s="12" t="s">
        <v>80</v>
      </c>
      <c r="H27" s="12" t="s">
        <v>108</v>
      </c>
      <c r="I27" s="12" t="s">
        <v>82</v>
      </c>
      <c r="J27" s="12" t="s">
        <v>107</v>
      </c>
      <c r="K27" s="12" t="s">
        <v>89</v>
      </c>
      <c r="L27" s="12" t="s">
        <v>51</v>
      </c>
      <c r="M27" s="12" t="s">
        <v>84</v>
      </c>
      <c r="N27" s="12"/>
    </row>
    <row r="28" customFormat="false" ht="15" hidden="false" customHeight="false" outlineLevel="0" collapsed="false">
      <c r="A28" s="14" t="n">
        <v>24</v>
      </c>
      <c r="B28" s="15" t="s">
        <v>109</v>
      </c>
      <c r="C28" s="15" t="s">
        <v>110</v>
      </c>
      <c r="D28" s="14" t="s">
        <v>78</v>
      </c>
      <c r="E28" s="14" t="s">
        <v>20</v>
      </c>
      <c r="F28" s="14" t="s">
        <v>111</v>
      </c>
      <c r="G28" s="14" t="s">
        <v>112</v>
      </c>
      <c r="H28" s="14" t="s">
        <v>81</v>
      </c>
      <c r="I28" s="14" t="s">
        <v>113</v>
      </c>
      <c r="J28" s="14"/>
      <c r="K28" s="14" t="s">
        <v>50</v>
      </c>
      <c r="L28" s="14" t="s">
        <v>83</v>
      </c>
      <c r="M28" s="14" t="s">
        <v>114</v>
      </c>
      <c r="N28" s="14"/>
    </row>
    <row r="29" customFormat="false" ht="15" hidden="false" customHeight="false" outlineLevel="0" collapsed="false">
      <c r="A29" s="14" t="n">
        <v>25</v>
      </c>
      <c r="B29" s="15" t="s">
        <v>109</v>
      </c>
      <c r="C29" s="15" t="s">
        <v>115</v>
      </c>
      <c r="D29" s="14" t="s">
        <v>93</v>
      </c>
      <c r="E29" s="14" t="s">
        <v>116</v>
      </c>
      <c r="F29" s="14" t="s">
        <v>111</v>
      </c>
      <c r="G29" s="14" t="s">
        <v>112</v>
      </c>
      <c r="H29" s="14" t="s">
        <v>115</v>
      </c>
      <c r="I29" s="14" t="s">
        <v>113</v>
      </c>
      <c r="J29" s="14" t="s">
        <v>115</v>
      </c>
      <c r="K29" s="14" t="s">
        <v>117</v>
      </c>
      <c r="L29" s="14" t="s">
        <v>51</v>
      </c>
      <c r="M29" s="14" t="s">
        <v>114</v>
      </c>
      <c r="N29" s="14"/>
    </row>
    <row r="30" customFormat="false" ht="15" hidden="false" customHeight="false" outlineLevel="0" collapsed="false">
      <c r="A30" s="14" t="n">
        <v>26</v>
      </c>
      <c r="B30" s="15" t="s">
        <v>109</v>
      </c>
      <c r="C30" s="15" t="s">
        <v>118</v>
      </c>
      <c r="D30" s="14" t="s">
        <v>87</v>
      </c>
      <c r="E30" s="14"/>
      <c r="F30" s="14" t="s">
        <v>111</v>
      </c>
      <c r="G30" s="14" t="s">
        <v>112</v>
      </c>
      <c r="H30" s="14" t="s">
        <v>118</v>
      </c>
      <c r="I30" s="14" t="s">
        <v>113</v>
      </c>
      <c r="J30" s="14" t="s">
        <v>118</v>
      </c>
      <c r="K30" s="14" t="s">
        <v>117</v>
      </c>
      <c r="L30" s="14" t="s">
        <v>51</v>
      </c>
      <c r="M30" s="14" t="s">
        <v>114</v>
      </c>
      <c r="N30" s="14"/>
    </row>
    <row r="31" customFormat="false" ht="15" hidden="false" customHeight="false" outlineLevel="0" collapsed="false">
      <c r="A31" s="14" t="n">
        <v>27</v>
      </c>
      <c r="B31" s="15" t="s">
        <v>109</v>
      </c>
      <c r="C31" s="15" t="s">
        <v>119</v>
      </c>
      <c r="D31" s="14" t="s">
        <v>46</v>
      </c>
      <c r="E31" s="14"/>
      <c r="F31" s="14" t="s">
        <v>111</v>
      </c>
      <c r="G31" s="14" t="s">
        <v>112</v>
      </c>
      <c r="H31" s="14" t="s">
        <v>119</v>
      </c>
      <c r="I31" s="14" t="s">
        <v>113</v>
      </c>
      <c r="J31" s="14" t="s">
        <v>119</v>
      </c>
      <c r="K31" s="14" t="s">
        <v>117</v>
      </c>
      <c r="L31" s="14" t="s">
        <v>51</v>
      </c>
      <c r="M31" s="14" t="s">
        <v>114</v>
      </c>
      <c r="N31" s="14"/>
    </row>
    <row r="32" customFormat="false" ht="15" hidden="false" customHeight="false" outlineLevel="0" collapsed="false">
      <c r="A32" s="14" t="n">
        <v>28</v>
      </c>
      <c r="B32" s="15" t="s">
        <v>109</v>
      </c>
      <c r="C32" s="15" t="s">
        <v>120</v>
      </c>
      <c r="D32" s="14" t="s">
        <v>46</v>
      </c>
      <c r="E32" s="14"/>
      <c r="F32" s="14" t="s">
        <v>111</v>
      </c>
      <c r="G32" s="14" t="s">
        <v>112</v>
      </c>
      <c r="H32" s="14" t="s">
        <v>120</v>
      </c>
      <c r="I32" s="14" t="s">
        <v>113</v>
      </c>
      <c r="J32" s="14" t="s">
        <v>120</v>
      </c>
      <c r="K32" s="14" t="s">
        <v>117</v>
      </c>
      <c r="L32" s="14" t="s">
        <v>51</v>
      </c>
      <c r="M32" s="14" t="s">
        <v>114</v>
      </c>
      <c r="N32" s="14"/>
    </row>
    <row r="33" customFormat="false" ht="15" hidden="false" customHeight="false" outlineLevel="0" collapsed="false">
      <c r="A33" s="14" t="n">
        <v>29</v>
      </c>
      <c r="B33" s="15" t="s">
        <v>109</v>
      </c>
      <c r="C33" s="15" t="s">
        <v>121</v>
      </c>
      <c r="D33" s="14" t="s">
        <v>122</v>
      </c>
      <c r="E33" s="14"/>
      <c r="F33" s="14" t="s">
        <v>111</v>
      </c>
      <c r="G33" s="14" t="s">
        <v>112</v>
      </c>
      <c r="H33" s="14" t="s">
        <v>121</v>
      </c>
      <c r="I33" s="14" t="s">
        <v>113</v>
      </c>
      <c r="J33" s="14" t="s">
        <v>121</v>
      </c>
      <c r="K33" s="14" t="s">
        <v>117</v>
      </c>
      <c r="L33" s="14" t="s">
        <v>51</v>
      </c>
      <c r="M33" s="14" t="s">
        <v>114</v>
      </c>
      <c r="N33" s="14"/>
    </row>
    <row r="34" customFormat="false" ht="15" hidden="false" customHeight="false" outlineLevel="0" collapsed="false">
      <c r="A34" s="14" t="n">
        <v>30</v>
      </c>
      <c r="B34" s="15" t="s">
        <v>109</v>
      </c>
      <c r="C34" s="15" t="s">
        <v>123</v>
      </c>
      <c r="D34" s="14" t="s">
        <v>46</v>
      </c>
      <c r="E34" s="14"/>
      <c r="F34" s="14" t="s">
        <v>111</v>
      </c>
      <c r="G34" s="14" t="s">
        <v>112</v>
      </c>
      <c r="H34" s="14" t="s">
        <v>123</v>
      </c>
      <c r="I34" s="14" t="s">
        <v>113</v>
      </c>
      <c r="J34" s="14" t="s">
        <v>123</v>
      </c>
      <c r="K34" s="14" t="s">
        <v>117</v>
      </c>
      <c r="L34" s="14" t="s">
        <v>51</v>
      </c>
      <c r="M34" s="14" t="s">
        <v>114</v>
      </c>
      <c r="N34" s="14"/>
    </row>
    <row r="35" customFormat="false" ht="15" hidden="false" customHeight="false" outlineLevel="0" collapsed="false">
      <c r="A35" s="14" t="n">
        <v>31</v>
      </c>
      <c r="B35" s="15" t="s">
        <v>109</v>
      </c>
      <c r="C35" s="15" t="s">
        <v>124</v>
      </c>
      <c r="D35" s="14" t="s">
        <v>105</v>
      </c>
      <c r="E35" s="14"/>
      <c r="F35" s="14" t="s">
        <v>111</v>
      </c>
      <c r="G35" s="14" t="s">
        <v>112</v>
      </c>
      <c r="H35" s="14" t="s">
        <v>124</v>
      </c>
      <c r="I35" s="14" t="s">
        <v>113</v>
      </c>
      <c r="J35" s="14" t="s">
        <v>124</v>
      </c>
      <c r="K35" s="14" t="s">
        <v>117</v>
      </c>
      <c r="L35" s="14" t="s">
        <v>51</v>
      </c>
      <c r="M35" s="14" t="s">
        <v>114</v>
      </c>
      <c r="N35" s="14"/>
    </row>
    <row r="36" customFormat="false" ht="15" hidden="false" customHeight="false" outlineLevel="0" collapsed="false">
      <c r="A36" s="14" t="n">
        <v>32</v>
      </c>
      <c r="B36" s="15" t="s">
        <v>109</v>
      </c>
      <c r="C36" s="15" t="s">
        <v>125</v>
      </c>
      <c r="D36" s="14" t="s">
        <v>98</v>
      </c>
      <c r="E36" s="14"/>
      <c r="F36" s="14" t="s">
        <v>111</v>
      </c>
      <c r="G36" s="14" t="s">
        <v>112</v>
      </c>
      <c r="H36" s="14" t="s">
        <v>125</v>
      </c>
      <c r="I36" s="14" t="s">
        <v>113</v>
      </c>
      <c r="J36" s="14" t="s">
        <v>125</v>
      </c>
      <c r="K36" s="14" t="s">
        <v>117</v>
      </c>
      <c r="L36" s="14" t="s">
        <v>51</v>
      </c>
      <c r="M36" s="14" t="s">
        <v>114</v>
      </c>
      <c r="N36" s="14"/>
    </row>
    <row r="37" customFormat="false" ht="15" hidden="false" customHeight="false" outlineLevel="0" collapsed="false">
      <c r="A37" s="14" t="n">
        <v>33</v>
      </c>
      <c r="B37" s="15" t="s">
        <v>109</v>
      </c>
      <c r="C37" s="15" t="s">
        <v>126</v>
      </c>
      <c r="D37" s="14" t="s">
        <v>127</v>
      </c>
      <c r="E37" s="14"/>
      <c r="F37" s="14" t="s">
        <v>111</v>
      </c>
      <c r="G37" s="14" t="s">
        <v>112</v>
      </c>
      <c r="H37" s="14" t="s">
        <v>126</v>
      </c>
      <c r="I37" s="14" t="s">
        <v>113</v>
      </c>
      <c r="J37" s="14" t="s">
        <v>126</v>
      </c>
      <c r="K37" s="14" t="s">
        <v>117</v>
      </c>
      <c r="L37" s="14" t="s">
        <v>51</v>
      </c>
      <c r="M37" s="14" t="s">
        <v>114</v>
      </c>
      <c r="N37" s="14"/>
    </row>
    <row r="38" customFormat="false" ht="15" hidden="false" customHeight="false" outlineLevel="0" collapsed="false">
      <c r="A38" s="14" t="n">
        <v>34</v>
      </c>
      <c r="B38" s="15" t="s">
        <v>109</v>
      </c>
      <c r="C38" s="15" t="s">
        <v>128</v>
      </c>
      <c r="D38" s="14" t="s">
        <v>129</v>
      </c>
      <c r="E38" s="14"/>
      <c r="F38" s="14" t="s">
        <v>111</v>
      </c>
      <c r="G38" s="14" t="s">
        <v>112</v>
      </c>
      <c r="H38" s="14" t="s">
        <v>128</v>
      </c>
      <c r="I38" s="14" t="s">
        <v>113</v>
      </c>
      <c r="J38" s="14" t="s">
        <v>128</v>
      </c>
      <c r="K38" s="14" t="s">
        <v>117</v>
      </c>
      <c r="L38" s="14" t="s">
        <v>51</v>
      </c>
      <c r="M38" s="14" t="s">
        <v>114</v>
      </c>
      <c r="N38" s="14"/>
    </row>
    <row r="39" customFormat="false" ht="15" hidden="false" customHeight="false" outlineLevel="0" collapsed="false">
      <c r="A39" s="14" t="n">
        <v>35</v>
      </c>
      <c r="B39" s="15" t="s">
        <v>109</v>
      </c>
      <c r="C39" s="15" t="s">
        <v>130</v>
      </c>
      <c r="D39" s="14" t="s">
        <v>129</v>
      </c>
      <c r="E39" s="14"/>
      <c r="F39" s="14" t="s">
        <v>111</v>
      </c>
      <c r="G39" s="14" t="s">
        <v>112</v>
      </c>
      <c r="H39" s="14" t="s">
        <v>130</v>
      </c>
      <c r="I39" s="14" t="s">
        <v>113</v>
      </c>
      <c r="J39" s="14" t="s">
        <v>130</v>
      </c>
      <c r="K39" s="14" t="s">
        <v>117</v>
      </c>
      <c r="L39" s="14" t="s">
        <v>51</v>
      </c>
      <c r="M39" s="14" t="s">
        <v>114</v>
      </c>
      <c r="N39" s="14"/>
    </row>
    <row r="40" customFormat="false" ht="23.85" hidden="false" customHeight="false" outlineLevel="0" collapsed="false">
      <c r="A40" s="12" t="n">
        <v>36</v>
      </c>
      <c r="B40" s="13" t="s">
        <v>131</v>
      </c>
      <c r="C40" s="13" t="s">
        <v>132</v>
      </c>
      <c r="D40" s="12" t="s">
        <v>78</v>
      </c>
      <c r="E40" s="12" t="s">
        <v>20</v>
      </c>
      <c r="F40" s="12" t="s">
        <v>133</v>
      </c>
      <c r="G40" s="12" t="s">
        <v>134</v>
      </c>
      <c r="H40" s="12" t="s">
        <v>81</v>
      </c>
      <c r="I40" s="12" t="s">
        <v>135</v>
      </c>
      <c r="J40" s="12"/>
      <c r="K40" s="12" t="s">
        <v>50</v>
      </c>
      <c r="L40" s="12" t="s">
        <v>83</v>
      </c>
      <c r="M40" s="12" t="s">
        <v>136</v>
      </c>
      <c r="N40" s="12"/>
    </row>
    <row r="41" customFormat="false" ht="23.85" hidden="false" customHeight="false" outlineLevel="0" collapsed="false">
      <c r="A41" s="12" t="n">
        <v>37</v>
      </c>
      <c r="B41" s="13" t="s">
        <v>131</v>
      </c>
      <c r="C41" s="13" t="s">
        <v>137</v>
      </c>
      <c r="D41" s="12" t="s">
        <v>93</v>
      </c>
      <c r="E41" s="12" t="s">
        <v>116</v>
      </c>
      <c r="F41" s="12" t="s">
        <v>133</v>
      </c>
      <c r="G41" s="12" t="s">
        <v>134</v>
      </c>
      <c r="H41" s="12" t="s">
        <v>137</v>
      </c>
      <c r="I41" s="12" t="s">
        <v>135</v>
      </c>
      <c r="J41" s="12" t="s">
        <v>137</v>
      </c>
      <c r="K41" s="12" t="s">
        <v>117</v>
      </c>
      <c r="L41" s="12" t="s">
        <v>138</v>
      </c>
      <c r="M41" s="12" t="s">
        <v>136</v>
      </c>
      <c r="N41" s="12"/>
    </row>
    <row r="42" customFormat="false" ht="23.85" hidden="false" customHeight="false" outlineLevel="0" collapsed="false">
      <c r="A42" s="14" t="n">
        <v>38</v>
      </c>
      <c r="B42" s="15" t="s">
        <v>139</v>
      </c>
      <c r="C42" s="15" t="s">
        <v>140</v>
      </c>
      <c r="D42" s="14" t="s">
        <v>78</v>
      </c>
      <c r="E42" s="14" t="s">
        <v>20</v>
      </c>
      <c r="F42" s="14" t="s">
        <v>141</v>
      </c>
      <c r="G42" s="14" t="s">
        <v>142</v>
      </c>
      <c r="H42" s="14" t="s">
        <v>81</v>
      </c>
      <c r="I42" s="14" t="s">
        <v>143</v>
      </c>
      <c r="J42" s="14"/>
      <c r="K42" s="14" t="s">
        <v>50</v>
      </c>
      <c r="L42" s="14" t="s">
        <v>83</v>
      </c>
      <c r="M42" s="14" t="s">
        <v>144</v>
      </c>
      <c r="N42" s="14"/>
    </row>
    <row r="43" customFormat="false" ht="23.85" hidden="false" customHeight="false" outlineLevel="0" collapsed="false">
      <c r="A43" s="14" t="n">
        <v>39</v>
      </c>
      <c r="B43" s="15" t="s">
        <v>139</v>
      </c>
      <c r="C43" s="15" t="s">
        <v>145</v>
      </c>
      <c r="D43" s="14" t="s">
        <v>93</v>
      </c>
      <c r="E43" s="14" t="s">
        <v>116</v>
      </c>
      <c r="F43" s="14" t="s">
        <v>141</v>
      </c>
      <c r="G43" s="14" t="s">
        <v>142</v>
      </c>
      <c r="H43" s="14" t="s">
        <v>145</v>
      </c>
      <c r="I43" s="14" t="s">
        <v>143</v>
      </c>
      <c r="J43" s="14" t="s">
        <v>145</v>
      </c>
      <c r="K43" s="14" t="s">
        <v>117</v>
      </c>
      <c r="L43" s="14" t="s">
        <v>51</v>
      </c>
      <c r="M43" s="14" t="s">
        <v>144</v>
      </c>
      <c r="N43" s="14"/>
    </row>
    <row r="44" customFormat="false" ht="23.85" hidden="false" customHeight="false" outlineLevel="0" collapsed="false">
      <c r="A44" s="14" t="n">
        <v>40</v>
      </c>
      <c r="B44" s="15" t="s">
        <v>139</v>
      </c>
      <c r="C44" s="15" t="s">
        <v>146</v>
      </c>
      <c r="D44" s="14" t="s">
        <v>147</v>
      </c>
      <c r="E44" s="14"/>
      <c r="F44" s="14" t="s">
        <v>141</v>
      </c>
      <c r="G44" s="14" t="s">
        <v>142</v>
      </c>
      <c r="H44" s="14" t="s">
        <v>146</v>
      </c>
      <c r="I44" s="14" t="s">
        <v>143</v>
      </c>
      <c r="J44" s="14" t="s">
        <v>146</v>
      </c>
      <c r="K44" s="14" t="s">
        <v>117</v>
      </c>
      <c r="L44" s="14" t="s">
        <v>51</v>
      </c>
      <c r="M44" s="14" t="s">
        <v>144</v>
      </c>
      <c r="N44" s="14"/>
    </row>
    <row r="45" customFormat="false" ht="23.85" hidden="false" customHeight="false" outlineLevel="0" collapsed="false">
      <c r="A45" s="14" t="n">
        <v>41</v>
      </c>
      <c r="B45" s="15" t="s">
        <v>139</v>
      </c>
      <c r="C45" s="15" t="s">
        <v>148</v>
      </c>
      <c r="D45" s="14" t="s">
        <v>147</v>
      </c>
      <c r="E45" s="14"/>
      <c r="F45" s="14" t="s">
        <v>141</v>
      </c>
      <c r="G45" s="14" t="s">
        <v>142</v>
      </c>
      <c r="H45" s="14" t="s">
        <v>149</v>
      </c>
      <c r="I45" s="14" t="s">
        <v>143</v>
      </c>
      <c r="J45" s="14" t="s">
        <v>150</v>
      </c>
      <c r="K45" s="14" t="s">
        <v>151</v>
      </c>
      <c r="L45" s="14" t="s">
        <v>152</v>
      </c>
      <c r="M45" s="14" t="s">
        <v>144</v>
      </c>
      <c r="N45" s="14" t="s">
        <v>153</v>
      </c>
    </row>
    <row r="46" customFormat="false" ht="23.85" hidden="false" customHeight="false" outlineLevel="0" collapsed="false">
      <c r="A46" s="14" t="n">
        <v>42</v>
      </c>
      <c r="B46" s="15" t="s">
        <v>139</v>
      </c>
      <c r="C46" s="15" t="s">
        <v>154</v>
      </c>
      <c r="D46" s="14" t="s">
        <v>129</v>
      </c>
      <c r="E46" s="14"/>
      <c r="F46" s="14" t="s">
        <v>141</v>
      </c>
      <c r="G46" s="14" t="s">
        <v>142</v>
      </c>
      <c r="H46" s="14" t="s">
        <v>149</v>
      </c>
      <c r="I46" s="14" t="s">
        <v>143</v>
      </c>
      <c r="J46" s="14" t="s">
        <v>150</v>
      </c>
      <c r="K46" s="14" t="s">
        <v>151</v>
      </c>
      <c r="L46" s="14" t="s">
        <v>155</v>
      </c>
      <c r="M46" s="14" t="s">
        <v>144</v>
      </c>
      <c r="N46" s="14" t="s">
        <v>153</v>
      </c>
    </row>
    <row r="47" customFormat="false" ht="23.85" hidden="false" customHeight="false" outlineLevel="0" collapsed="false">
      <c r="A47" s="14" t="n">
        <v>43</v>
      </c>
      <c r="B47" s="15" t="s">
        <v>139</v>
      </c>
      <c r="C47" s="15" t="s">
        <v>156</v>
      </c>
      <c r="D47" s="14" t="s">
        <v>87</v>
      </c>
      <c r="E47" s="14"/>
      <c r="F47" s="14" t="s">
        <v>141</v>
      </c>
      <c r="G47" s="14" t="s">
        <v>142</v>
      </c>
      <c r="H47" s="14" t="s">
        <v>157</v>
      </c>
      <c r="I47" s="14" t="s">
        <v>143</v>
      </c>
      <c r="J47" s="14" t="s">
        <v>158</v>
      </c>
      <c r="K47" s="14" t="s">
        <v>151</v>
      </c>
      <c r="L47" s="14" t="s">
        <v>159</v>
      </c>
      <c r="M47" s="14" t="s">
        <v>144</v>
      </c>
      <c r="N47" s="14" t="s">
        <v>160</v>
      </c>
    </row>
    <row r="48" customFormat="false" ht="23.85" hidden="false" customHeight="false" outlineLevel="0" collapsed="false">
      <c r="A48" s="14" t="n">
        <v>44</v>
      </c>
      <c r="B48" s="15" t="s">
        <v>139</v>
      </c>
      <c r="C48" s="15" t="s">
        <v>161</v>
      </c>
      <c r="D48" s="14" t="s">
        <v>87</v>
      </c>
      <c r="E48" s="14"/>
      <c r="F48" s="14" t="s">
        <v>141</v>
      </c>
      <c r="G48" s="14" t="s">
        <v>142</v>
      </c>
      <c r="H48" s="14" t="s">
        <v>157</v>
      </c>
      <c r="I48" s="14" t="s">
        <v>143</v>
      </c>
      <c r="J48" s="14" t="s">
        <v>158</v>
      </c>
      <c r="K48" s="14" t="s">
        <v>151</v>
      </c>
      <c r="L48" s="14" t="s">
        <v>162</v>
      </c>
      <c r="M48" s="14" t="s">
        <v>144</v>
      </c>
      <c r="N48" s="14" t="s">
        <v>160</v>
      </c>
    </row>
    <row r="49" customFormat="false" ht="23.85" hidden="false" customHeight="false" outlineLevel="0" collapsed="false">
      <c r="A49" s="14" t="n">
        <v>45</v>
      </c>
      <c r="B49" s="15" t="s">
        <v>139</v>
      </c>
      <c r="C49" s="15" t="s">
        <v>163</v>
      </c>
      <c r="D49" s="14" t="s">
        <v>87</v>
      </c>
      <c r="E49" s="14"/>
      <c r="F49" s="14" t="s">
        <v>141</v>
      </c>
      <c r="G49" s="14" t="s">
        <v>142</v>
      </c>
      <c r="H49" s="14" t="s">
        <v>157</v>
      </c>
      <c r="I49" s="14" t="s">
        <v>143</v>
      </c>
      <c r="J49" s="14" t="s">
        <v>158</v>
      </c>
      <c r="K49" s="14" t="s">
        <v>151</v>
      </c>
      <c r="L49" s="14" t="s">
        <v>164</v>
      </c>
      <c r="M49" s="14" t="s">
        <v>144</v>
      </c>
      <c r="N49" s="14" t="s">
        <v>160</v>
      </c>
    </row>
    <row r="50" customFormat="false" ht="23.85" hidden="false" customHeight="false" outlineLevel="0" collapsed="false">
      <c r="A50" s="14" t="n">
        <v>46</v>
      </c>
      <c r="B50" s="15" t="s">
        <v>139</v>
      </c>
      <c r="C50" s="15" t="s">
        <v>165</v>
      </c>
      <c r="D50" s="14" t="s">
        <v>127</v>
      </c>
      <c r="E50" s="14"/>
      <c r="F50" s="14" t="s">
        <v>141</v>
      </c>
      <c r="G50" s="14" t="s">
        <v>142</v>
      </c>
      <c r="H50" s="14" t="s">
        <v>165</v>
      </c>
      <c r="I50" s="14" t="s">
        <v>143</v>
      </c>
      <c r="J50" s="14" t="s">
        <v>165</v>
      </c>
      <c r="K50" s="14" t="s">
        <v>117</v>
      </c>
      <c r="L50" s="14" t="s">
        <v>51</v>
      </c>
      <c r="M50" s="14" t="s">
        <v>144</v>
      </c>
      <c r="N50" s="14"/>
    </row>
    <row r="51" customFormat="false" ht="23.85" hidden="false" customHeight="false" outlineLevel="0" collapsed="false">
      <c r="A51" s="14" t="n">
        <v>47</v>
      </c>
      <c r="B51" s="15" t="s">
        <v>139</v>
      </c>
      <c r="C51" s="15" t="s">
        <v>166</v>
      </c>
      <c r="D51" s="14" t="s">
        <v>64</v>
      </c>
      <c r="E51" s="14"/>
      <c r="F51" s="14" t="s">
        <v>141</v>
      </c>
      <c r="G51" s="14" t="s">
        <v>142</v>
      </c>
      <c r="H51" s="14" t="s">
        <v>166</v>
      </c>
      <c r="I51" s="14" t="s">
        <v>143</v>
      </c>
      <c r="J51" s="14" t="s">
        <v>166</v>
      </c>
      <c r="K51" s="14" t="s">
        <v>117</v>
      </c>
      <c r="L51" s="14" t="s">
        <v>65</v>
      </c>
      <c r="M51" s="14" t="s">
        <v>144</v>
      </c>
      <c r="N51" s="14"/>
    </row>
    <row r="52" customFormat="false" ht="23.85" hidden="false" customHeight="false" outlineLevel="0" collapsed="false">
      <c r="A52" s="14" t="n">
        <v>48</v>
      </c>
      <c r="B52" s="15" t="s">
        <v>139</v>
      </c>
      <c r="C52" s="15" t="s">
        <v>167</v>
      </c>
      <c r="D52" s="14" t="s">
        <v>168</v>
      </c>
      <c r="E52" s="14"/>
      <c r="F52" s="14" t="s">
        <v>141</v>
      </c>
      <c r="G52" s="14" t="s">
        <v>142</v>
      </c>
      <c r="H52" s="14" t="s">
        <v>167</v>
      </c>
      <c r="I52" s="14" t="s">
        <v>143</v>
      </c>
      <c r="J52" s="14" t="s">
        <v>167</v>
      </c>
      <c r="K52" s="14" t="s">
        <v>117</v>
      </c>
      <c r="L52" s="14" t="s">
        <v>51</v>
      </c>
      <c r="M52" s="14" t="s">
        <v>144</v>
      </c>
      <c r="N52" s="14"/>
    </row>
    <row r="53" customFormat="false" ht="23.85" hidden="false" customHeight="false" outlineLevel="0" collapsed="false">
      <c r="A53" s="14" t="n">
        <v>49</v>
      </c>
      <c r="B53" s="15" t="s">
        <v>139</v>
      </c>
      <c r="C53" s="15" t="s">
        <v>169</v>
      </c>
      <c r="D53" s="14" t="s">
        <v>129</v>
      </c>
      <c r="E53" s="14"/>
      <c r="F53" s="14" t="s">
        <v>141</v>
      </c>
      <c r="G53" s="14" t="s">
        <v>142</v>
      </c>
      <c r="H53" s="14" t="s">
        <v>169</v>
      </c>
      <c r="I53" s="14" t="s">
        <v>143</v>
      </c>
      <c r="J53" s="14" t="s">
        <v>169</v>
      </c>
      <c r="K53" s="14" t="s">
        <v>117</v>
      </c>
      <c r="L53" s="14" t="s">
        <v>51</v>
      </c>
      <c r="M53" s="14" t="s">
        <v>144</v>
      </c>
      <c r="N53" s="14"/>
    </row>
    <row r="54" customFormat="false" ht="23.85" hidden="false" customHeight="false" outlineLevel="0" collapsed="false">
      <c r="A54" s="12" t="n">
        <v>50</v>
      </c>
      <c r="B54" s="13" t="s">
        <v>170</v>
      </c>
      <c r="C54" s="13" t="s">
        <v>171</v>
      </c>
      <c r="D54" s="12" t="s">
        <v>78</v>
      </c>
      <c r="E54" s="12" t="s">
        <v>20</v>
      </c>
      <c r="F54" s="12" t="s">
        <v>172</v>
      </c>
      <c r="G54" s="12" t="s">
        <v>173</v>
      </c>
      <c r="H54" s="12" t="s">
        <v>81</v>
      </c>
      <c r="I54" s="12" t="s">
        <v>174</v>
      </c>
      <c r="J54" s="12"/>
      <c r="K54" s="12" t="s">
        <v>50</v>
      </c>
      <c r="L54" s="12" t="s">
        <v>83</v>
      </c>
      <c r="M54" s="12" t="s">
        <v>175</v>
      </c>
      <c r="N54" s="12"/>
    </row>
    <row r="55" customFormat="false" ht="23.85" hidden="false" customHeight="false" outlineLevel="0" collapsed="false">
      <c r="A55" s="12" t="n">
        <v>51</v>
      </c>
      <c r="B55" s="13" t="s">
        <v>170</v>
      </c>
      <c r="C55" s="13" t="s">
        <v>176</v>
      </c>
      <c r="D55" s="12" t="s">
        <v>93</v>
      </c>
      <c r="E55" s="12" t="s">
        <v>116</v>
      </c>
      <c r="F55" s="12" t="s">
        <v>172</v>
      </c>
      <c r="G55" s="12" t="s">
        <v>173</v>
      </c>
      <c r="H55" s="12" t="s">
        <v>177</v>
      </c>
      <c r="I55" s="12" t="s">
        <v>174</v>
      </c>
      <c r="J55" s="12" t="s">
        <v>176</v>
      </c>
      <c r="K55" s="12" t="s">
        <v>89</v>
      </c>
      <c r="L55" s="12" t="s">
        <v>51</v>
      </c>
      <c r="M55" s="12" t="s">
        <v>175</v>
      </c>
      <c r="N55" s="12"/>
    </row>
    <row r="56" customFormat="false" ht="23.85" hidden="false" customHeight="false" outlineLevel="0" collapsed="false">
      <c r="A56" s="12" t="n">
        <v>52</v>
      </c>
      <c r="B56" s="13" t="s">
        <v>170</v>
      </c>
      <c r="C56" s="13" t="s">
        <v>178</v>
      </c>
      <c r="D56" s="12" t="s">
        <v>147</v>
      </c>
      <c r="E56" s="12"/>
      <c r="F56" s="12" t="s">
        <v>172</v>
      </c>
      <c r="G56" s="12" t="s">
        <v>173</v>
      </c>
      <c r="H56" s="12" t="s">
        <v>179</v>
      </c>
      <c r="I56" s="12" t="s">
        <v>174</v>
      </c>
      <c r="J56" s="12" t="s">
        <v>178</v>
      </c>
      <c r="K56" s="12" t="s">
        <v>89</v>
      </c>
      <c r="L56" s="12" t="s">
        <v>51</v>
      </c>
      <c r="M56" s="12" t="s">
        <v>175</v>
      </c>
      <c r="N56" s="12"/>
    </row>
    <row r="57" customFormat="false" ht="23.85" hidden="false" customHeight="false" outlineLevel="0" collapsed="false">
      <c r="A57" s="12" t="n">
        <v>53</v>
      </c>
      <c r="B57" s="13" t="s">
        <v>170</v>
      </c>
      <c r="C57" s="13" t="s">
        <v>180</v>
      </c>
      <c r="D57" s="12" t="s">
        <v>127</v>
      </c>
      <c r="E57" s="12"/>
      <c r="F57" s="12" t="s">
        <v>172</v>
      </c>
      <c r="G57" s="12" t="s">
        <v>173</v>
      </c>
      <c r="H57" s="12" t="s">
        <v>181</v>
      </c>
      <c r="I57" s="12" t="s">
        <v>174</v>
      </c>
      <c r="J57" s="12" t="s">
        <v>180</v>
      </c>
      <c r="K57" s="12" t="s">
        <v>89</v>
      </c>
      <c r="L57" s="12" t="s">
        <v>51</v>
      </c>
      <c r="M57" s="12" t="s">
        <v>175</v>
      </c>
      <c r="N57" s="12"/>
    </row>
    <row r="58" customFormat="false" ht="23.85" hidden="false" customHeight="false" outlineLevel="0" collapsed="false">
      <c r="A58" s="12" t="n">
        <v>54</v>
      </c>
      <c r="B58" s="13" t="s">
        <v>170</v>
      </c>
      <c r="C58" s="13" t="s">
        <v>182</v>
      </c>
      <c r="D58" s="12" t="s">
        <v>98</v>
      </c>
      <c r="E58" s="12"/>
      <c r="F58" s="12" t="s">
        <v>172</v>
      </c>
      <c r="G58" s="12" t="s">
        <v>173</v>
      </c>
      <c r="H58" s="12" t="s">
        <v>183</v>
      </c>
      <c r="I58" s="12" t="s">
        <v>174</v>
      </c>
      <c r="J58" s="12" t="s">
        <v>182</v>
      </c>
      <c r="K58" s="12" t="s">
        <v>89</v>
      </c>
      <c r="L58" s="12" t="s">
        <v>51</v>
      </c>
      <c r="M58" s="12" t="s">
        <v>175</v>
      </c>
      <c r="N58" s="12"/>
    </row>
    <row r="59" customFormat="false" ht="23.85" hidden="false" customHeight="false" outlineLevel="0" collapsed="false">
      <c r="A59" s="14" t="n">
        <v>55</v>
      </c>
      <c r="B59" s="15" t="s">
        <v>184</v>
      </c>
      <c r="C59" s="15" t="s">
        <v>185</v>
      </c>
      <c r="D59" s="14" t="s">
        <v>78</v>
      </c>
      <c r="E59" s="14" t="s">
        <v>20</v>
      </c>
      <c r="F59" s="14" t="s">
        <v>186</v>
      </c>
      <c r="G59" s="14" t="s">
        <v>187</v>
      </c>
      <c r="H59" s="14" t="s">
        <v>81</v>
      </c>
      <c r="I59" s="14" t="s">
        <v>188</v>
      </c>
      <c r="J59" s="14"/>
      <c r="K59" s="14" t="s">
        <v>50</v>
      </c>
      <c r="L59" s="14" t="s">
        <v>83</v>
      </c>
      <c r="M59" s="14" t="s">
        <v>189</v>
      </c>
      <c r="N59" s="14"/>
    </row>
    <row r="60" customFormat="false" ht="23.85" hidden="false" customHeight="false" outlineLevel="0" collapsed="false">
      <c r="A60" s="14" t="n">
        <v>56</v>
      </c>
      <c r="B60" s="15" t="s">
        <v>184</v>
      </c>
      <c r="C60" s="15" t="s">
        <v>176</v>
      </c>
      <c r="D60" s="14" t="s">
        <v>93</v>
      </c>
      <c r="E60" s="14" t="s">
        <v>116</v>
      </c>
      <c r="F60" s="14" t="s">
        <v>186</v>
      </c>
      <c r="G60" s="14" t="s">
        <v>187</v>
      </c>
      <c r="H60" s="14" t="s">
        <v>176</v>
      </c>
      <c r="I60" s="14" t="s">
        <v>188</v>
      </c>
      <c r="J60" s="14" t="s">
        <v>176</v>
      </c>
      <c r="K60" s="14" t="s">
        <v>117</v>
      </c>
      <c r="L60" s="14" t="s">
        <v>51</v>
      </c>
      <c r="M60" s="14" t="s">
        <v>189</v>
      </c>
      <c r="N60" s="14"/>
    </row>
    <row r="61" customFormat="false" ht="23.85" hidden="false" customHeight="false" outlineLevel="0" collapsed="false">
      <c r="A61" s="14" t="n">
        <v>57</v>
      </c>
      <c r="B61" s="15" t="s">
        <v>184</v>
      </c>
      <c r="C61" s="15" t="s">
        <v>180</v>
      </c>
      <c r="D61" s="14" t="s">
        <v>127</v>
      </c>
      <c r="E61" s="14"/>
      <c r="F61" s="14" t="s">
        <v>186</v>
      </c>
      <c r="G61" s="14" t="s">
        <v>187</v>
      </c>
      <c r="H61" s="14" t="s">
        <v>180</v>
      </c>
      <c r="I61" s="14" t="s">
        <v>188</v>
      </c>
      <c r="J61" s="14" t="s">
        <v>180</v>
      </c>
      <c r="K61" s="14" t="s">
        <v>117</v>
      </c>
      <c r="L61" s="14" t="s">
        <v>51</v>
      </c>
      <c r="M61" s="14" t="s">
        <v>189</v>
      </c>
      <c r="N61" s="14"/>
    </row>
    <row r="62" customFormat="false" ht="23.85" hidden="false" customHeight="false" outlineLevel="0" collapsed="false">
      <c r="A62" s="14" t="n">
        <v>58</v>
      </c>
      <c r="B62" s="15" t="s">
        <v>184</v>
      </c>
      <c r="C62" s="15" t="s">
        <v>190</v>
      </c>
      <c r="D62" s="14" t="s">
        <v>129</v>
      </c>
      <c r="E62" s="14"/>
      <c r="F62" s="14" t="s">
        <v>186</v>
      </c>
      <c r="G62" s="14" t="s">
        <v>187</v>
      </c>
      <c r="H62" s="14" t="s">
        <v>190</v>
      </c>
      <c r="I62" s="14" t="s">
        <v>188</v>
      </c>
      <c r="J62" s="14" t="s">
        <v>190</v>
      </c>
      <c r="K62" s="14" t="s">
        <v>117</v>
      </c>
      <c r="L62" s="14" t="s">
        <v>51</v>
      </c>
      <c r="M62" s="14" t="s">
        <v>189</v>
      </c>
      <c r="N62" s="14"/>
    </row>
    <row r="63" customFormat="false" ht="23.85" hidden="false" customHeight="false" outlineLevel="0" collapsed="false">
      <c r="A63" s="14" t="n">
        <v>59</v>
      </c>
      <c r="B63" s="15" t="s">
        <v>184</v>
      </c>
      <c r="C63" s="15" t="s">
        <v>191</v>
      </c>
      <c r="D63" s="14" t="s">
        <v>129</v>
      </c>
      <c r="E63" s="14"/>
      <c r="F63" s="14" t="s">
        <v>186</v>
      </c>
      <c r="G63" s="14" t="s">
        <v>187</v>
      </c>
      <c r="H63" s="14" t="s">
        <v>191</v>
      </c>
      <c r="I63" s="14" t="s">
        <v>188</v>
      </c>
      <c r="J63" s="14" t="s">
        <v>191</v>
      </c>
      <c r="K63" s="14" t="s">
        <v>117</v>
      </c>
      <c r="L63" s="14" t="s">
        <v>51</v>
      </c>
      <c r="M63" s="14" t="s">
        <v>189</v>
      </c>
      <c r="N63" s="14"/>
    </row>
    <row r="64" customFormat="false" ht="15" hidden="false" customHeight="false" outlineLevel="0" collapsed="false">
      <c r="A64" s="12" t="n">
        <v>60</v>
      </c>
      <c r="B64" s="13" t="s">
        <v>192</v>
      </c>
      <c r="C64" s="13" t="s">
        <v>193</v>
      </c>
      <c r="D64" s="12" t="s">
        <v>78</v>
      </c>
      <c r="E64" s="12" t="s">
        <v>20</v>
      </c>
      <c r="F64" s="12" t="s">
        <v>194</v>
      </c>
      <c r="G64" s="12" t="s">
        <v>195</v>
      </c>
      <c r="H64" s="12" t="s">
        <v>81</v>
      </c>
      <c r="I64" s="12" t="s">
        <v>196</v>
      </c>
      <c r="J64" s="12"/>
      <c r="K64" s="12" t="s">
        <v>50</v>
      </c>
      <c r="L64" s="12" t="s">
        <v>83</v>
      </c>
      <c r="M64" s="12" t="s">
        <v>197</v>
      </c>
      <c r="N64" s="12"/>
    </row>
    <row r="65" customFormat="false" ht="23.85" hidden="false" customHeight="false" outlineLevel="0" collapsed="false">
      <c r="A65" s="12" t="n">
        <v>61</v>
      </c>
      <c r="B65" s="13" t="s">
        <v>192</v>
      </c>
      <c r="C65" s="13" t="s">
        <v>198</v>
      </c>
      <c r="D65" s="12" t="s">
        <v>93</v>
      </c>
      <c r="E65" s="12" t="s">
        <v>116</v>
      </c>
      <c r="F65" s="12" t="s">
        <v>194</v>
      </c>
      <c r="G65" s="12" t="s">
        <v>195</v>
      </c>
      <c r="H65" s="12" t="s">
        <v>199</v>
      </c>
      <c r="I65" s="12" t="s">
        <v>196</v>
      </c>
      <c r="J65" s="12" t="s">
        <v>198</v>
      </c>
      <c r="K65" s="12" t="s">
        <v>89</v>
      </c>
      <c r="L65" s="12" t="s">
        <v>51</v>
      </c>
      <c r="M65" s="12" t="s">
        <v>197</v>
      </c>
      <c r="N65" s="12"/>
    </row>
    <row r="66" customFormat="false" ht="23.85" hidden="false" customHeight="false" outlineLevel="0" collapsed="false">
      <c r="A66" s="12" t="n">
        <v>62</v>
      </c>
      <c r="B66" s="13" t="s">
        <v>192</v>
      </c>
      <c r="C66" s="13" t="s">
        <v>57</v>
      </c>
      <c r="D66" s="12" t="s">
        <v>58</v>
      </c>
      <c r="E66" s="12" t="s">
        <v>200</v>
      </c>
      <c r="F66" s="12" t="s">
        <v>194</v>
      </c>
      <c r="G66" s="12" t="s">
        <v>195</v>
      </c>
      <c r="H66" s="12" t="s">
        <v>201</v>
      </c>
      <c r="I66" s="12" t="s">
        <v>196</v>
      </c>
      <c r="J66" s="12" t="s">
        <v>202</v>
      </c>
      <c r="K66" s="12" t="s">
        <v>89</v>
      </c>
      <c r="L66" s="12" t="s">
        <v>203</v>
      </c>
      <c r="M66" s="12" t="s">
        <v>197</v>
      </c>
      <c r="N66" s="12"/>
    </row>
    <row r="67" customFormat="false" ht="23.85" hidden="false" customHeight="false" outlineLevel="0" collapsed="false">
      <c r="A67" s="12" t="n">
        <v>63</v>
      </c>
      <c r="B67" s="13" t="s">
        <v>192</v>
      </c>
      <c r="C67" s="13" t="s">
        <v>145</v>
      </c>
      <c r="D67" s="12" t="s">
        <v>93</v>
      </c>
      <c r="E67" s="12"/>
      <c r="F67" s="12" t="s">
        <v>194</v>
      </c>
      <c r="G67" s="12" t="s">
        <v>195</v>
      </c>
      <c r="H67" s="12" t="s">
        <v>204</v>
      </c>
      <c r="I67" s="12" t="s">
        <v>196</v>
      </c>
      <c r="J67" s="12" t="s">
        <v>145</v>
      </c>
      <c r="K67" s="12" t="s">
        <v>89</v>
      </c>
      <c r="L67" s="12" t="s">
        <v>51</v>
      </c>
      <c r="M67" s="12" t="s">
        <v>197</v>
      </c>
      <c r="N67" s="12" t="s">
        <v>205</v>
      </c>
    </row>
    <row r="68" customFormat="false" ht="23.85" hidden="false" customHeight="false" outlineLevel="0" collapsed="false">
      <c r="A68" s="12" t="n">
        <v>64</v>
      </c>
      <c r="B68" s="13" t="s">
        <v>192</v>
      </c>
      <c r="C68" s="13" t="s">
        <v>92</v>
      </c>
      <c r="D68" s="12" t="s">
        <v>93</v>
      </c>
      <c r="E68" s="12"/>
      <c r="F68" s="12" t="s">
        <v>194</v>
      </c>
      <c r="G68" s="12" t="s">
        <v>195</v>
      </c>
      <c r="H68" s="12" t="s">
        <v>94</v>
      </c>
      <c r="I68" s="12" t="s">
        <v>196</v>
      </c>
      <c r="J68" s="12" t="s">
        <v>92</v>
      </c>
      <c r="K68" s="12" t="s">
        <v>89</v>
      </c>
      <c r="L68" s="12" t="s">
        <v>51</v>
      </c>
      <c r="M68" s="12" t="s">
        <v>197</v>
      </c>
      <c r="N68" s="12"/>
    </row>
    <row r="69" customFormat="false" ht="23.85" hidden="false" customHeight="false" outlineLevel="0" collapsed="false">
      <c r="A69" s="12" t="n">
        <v>65</v>
      </c>
      <c r="B69" s="13" t="s">
        <v>192</v>
      </c>
      <c r="C69" s="13" t="s">
        <v>95</v>
      </c>
      <c r="D69" s="12" t="s">
        <v>46</v>
      </c>
      <c r="E69" s="12"/>
      <c r="F69" s="12" t="s">
        <v>194</v>
      </c>
      <c r="G69" s="12" t="s">
        <v>195</v>
      </c>
      <c r="H69" s="12" t="s">
        <v>96</v>
      </c>
      <c r="I69" s="12" t="s">
        <v>196</v>
      </c>
      <c r="J69" s="12" t="s">
        <v>95</v>
      </c>
      <c r="K69" s="12" t="s">
        <v>89</v>
      </c>
      <c r="L69" s="12" t="s">
        <v>51</v>
      </c>
      <c r="M69" s="12" t="s">
        <v>197</v>
      </c>
      <c r="N69" s="12"/>
    </row>
    <row r="70" customFormat="false" ht="23.85" hidden="false" customHeight="false" outlineLevel="0" collapsed="false">
      <c r="A70" s="12" t="n">
        <v>66</v>
      </c>
      <c r="B70" s="13" t="s">
        <v>192</v>
      </c>
      <c r="C70" s="13" t="s">
        <v>206</v>
      </c>
      <c r="D70" s="12" t="s">
        <v>127</v>
      </c>
      <c r="E70" s="12"/>
      <c r="F70" s="12" t="s">
        <v>194</v>
      </c>
      <c r="G70" s="12" t="s">
        <v>195</v>
      </c>
      <c r="H70" s="12" t="s">
        <v>207</v>
      </c>
      <c r="I70" s="12" t="s">
        <v>196</v>
      </c>
      <c r="J70" s="12" t="s">
        <v>206</v>
      </c>
      <c r="K70" s="12" t="s">
        <v>89</v>
      </c>
      <c r="L70" s="12" t="s">
        <v>51</v>
      </c>
      <c r="M70" s="12" t="s">
        <v>197</v>
      </c>
      <c r="N70" s="12" t="s">
        <v>208</v>
      </c>
    </row>
    <row r="71" customFormat="false" ht="23.85" hidden="false" customHeight="false" outlineLevel="0" collapsed="false">
      <c r="A71" s="12" t="n">
        <v>67</v>
      </c>
      <c r="B71" s="13" t="s">
        <v>192</v>
      </c>
      <c r="C71" s="13" t="s">
        <v>209</v>
      </c>
      <c r="D71" s="12" t="s">
        <v>58</v>
      </c>
      <c r="E71" s="12"/>
      <c r="F71" s="12" t="s">
        <v>194</v>
      </c>
      <c r="G71" s="12" t="s">
        <v>195</v>
      </c>
      <c r="H71" s="12" t="s">
        <v>210</v>
      </c>
      <c r="I71" s="12" t="s">
        <v>196</v>
      </c>
      <c r="J71" s="12" t="s">
        <v>209</v>
      </c>
      <c r="K71" s="12" t="s">
        <v>89</v>
      </c>
      <c r="L71" s="12" t="s">
        <v>51</v>
      </c>
      <c r="M71" s="12" t="s">
        <v>197</v>
      </c>
      <c r="N71" s="12"/>
    </row>
    <row r="72" customFormat="false" ht="23.85" hidden="false" customHeight="false" outlineLevel="0" collapsed="false">
      <c r="A72" s="12" t="n">
        <v>68</v>
      </c>
      <c r="B72" s="13" t="s">
        <v>192</v>
      </c>
      <c r="C72" s="13" t="s">
        <v>182</v>
      </c>
      <c r="D72" s="12" t="s">
        <v>98</v>
      </c>
      <c r="E72" s="12"/>
      <c r="F72" s="12" t="s">
        <v>194</v>
      </c>
      <c r="G72" s="12" t="s">
        <v>195</v>
      </c>
      <c r="H72" s="12" t="s">
        <v>211</v>
      </c>
      <c r="I72" s="12" t="s">
        <v>196</v>
      </c>
      <c r="J72" s="12" t="s">
        <v>182</v>
      </c>
      <c r="K72" s="12" t="s">
        <v>89</v>
      </c>
      <c r="L72" s="12" t="s">
        <v>51</v>
      </c>
      <c r="M72" s="12" t="s">
        <v>197</v>
      </c>
      <c r="N72" s="12"/>
    </row>
    <row r="73" customFormat="false" ht="23.85" hidden="false" customHeight="false" outlineLevel="0" collapsed="false">
      <c r="A73" s="12" t="n">
        <v>69</v>
      </c>
      <c r="B73" s="13" t="s">
        <v>192</v>
      </c>
      <c r="C73" s="13" t="s">
        <v>212</v>
      </c>
      <c r="D73" s="12" t="s">
        <v>168</v>
      </c>
      <c r="E73" s="12"/>
      <c r="F73" s="12" t="s">
        <v>194</v>
      </c>
      <c r="G73" s="12" t="s">
        <v>195</v>
      </c>
      <c r="H73" s="12" t="s">
        <v>213</v>
      </c>
      <c r="I73" s="12" t="s">
        <v>196</v>
      </c>
      <c r="J73" s="12" t="s">
        <v>212</v>
      </c>
      <c r="K73" s="12" t="s">
        <v>89</v>
      </c>
      <c r="L73" s="12" t="s">
        <v>51</v>
      </c>
      <c r="M73" s="12" t="s">
        <v>197</v>
      </c>
      <c r="N73" s="12"/>
    </row>
    <row r="74" customFormat="false" ht="23.85" hidden="false" customHeight="false" outlineLevel="0" collapsed="false">
      <c r="A74" s="12" t="n">
        <v>70</v>
      </c>
      <c r="B74" s="13" t="s">
        <v>192</v>
      </c>
      <c r="C74" s="13" t="s">
        <v>214</v>
      </c>
      <c r="D74" s="12" t="s">
        <v>215</v>
      </c>
      <c r="E74" s="12"/>
      <c r="F74" s="12" t="s">
        <v>194</v>
      </c>
      <c r="G74" s="12" t="s">
        <v>195</v>
      </c>
      <c r="H74" s="12" t="s">
        <v>216</v>
      </c>
      <c r="I74" s="12" t="s">
        <v>196</v>
      </c>
      <c r="J74" s="12" t="s">
        <v>214</v>
      </c>
      <c r="K74" s="12" t="s">
        <v>89</v>
      </c>
      <c r="L74" s="12" t="s">
        <v>51</v>
      </c>
      <c r="M74" s="12" t="s">
        <v>197</v>
      </c>
      <c r="N74" s="12"/>
    </row>
    <row r="75" customFormat="false" ht="15" hidden="false" customHeight="false" outlineLevel="0" collapsed="false">
      <c r="A75" s="14" t="n">
        <v>71</v>
      </c>
      <c r="B75" s="15" t="s">
        <v>217</v>
      </c>
      <c r="C75" s="15" t="s">
        <v>218</v>
      </c>
      <c r="D75" s="14" t="s">
        <v>78</v>
      </c>
      <c r="E75" s="14" t="s">
        <v>20</v>
      </c>
      <c r="F75" s="14" t="s">
        <v>219</v>
      </c>
      <c r="G75" s="14" t="s">
        <v>220</v>
      </c>
      <c r="H75" s="14" t="s">
        <v>81</v>
      </c>
      <c r="I75" s="14" t="s">
        <v>221</v>
      </c>
      <c r="J75" s="14"/>
      <c r="K75" s="14" t="s">
        <v>50</v>
      </c>
      <c r="L75" s="14" t="s">
        <v>83</v>
      </c>
      <c r="M75" s="14" t="s">
        <v>222</v>
      </c>
      <c r="N75" s="14"/>
    </row>
    <row r="76" customFormat="false" ht="23.85" hidden="false" customHeight="false" outlineLevel="0" collapsed="false">
      <c r="A76" s="14" t="n">
        <v>72</v>
      </c>
      <c r="B76" s="15" t="s">
        <v>217</v>
      </c>
      <c r="C76" s="15" t="s">
        <v>198</v>
      </c>
      <c r="D76" s="14" t="s">
        <v>93</v>
      </c>
      <c r="E76" s="14" t="s">
        <v>116</v>
      </c>
      <c r="F76" s="14" t="s">
        <v>219</v>
      </c>
      <c r="G76" s="14" t="s">
        <v>220</v>
      </c>
      <c r="H76" s="14" t="s">
        <v>199</v>
      </c>
      <c r="I76" s="14" t="s">
        <v>221</v>
      </c>
      <c r="J76" s="14" t="s">
        <v>198</v>
      </c>
      <c r="K76" s="14" t="s">
        <v>89</v>
      </c>
      <c r="L76" s="14" t="s">
        <v>51</v>
      </c>
      <c r="M76" s="14" t="s">
        <v>222</v>
      </c>
      <c r="N76" s="14"/>
    </row>
    <row r="77" customFormat="false" ht="23.85" hidden="false" customHeight="false" outlineLevel="0" collapsed="false">
      <c r="A77" s="14" t="n">
        <v>73</v>
      </c>
      <c r="B77" s="15" t="s">
        <v>217</v>
      </c>
      <c r="C77" s="15" t="s">
        <v>57</v>
      </c>
      <c r="D77" s="14" t="s">
        <v>58</v>
      </c>
      <c r="E77" s="14" t="s">
        <v>200</v>
      </c>
      <c r="F77" s="14" t="s">
        <v>219</v>
      </c>
      <c r="G77" s="14" t="s">
        <v>220</v>
      </c>
      <c r="H77" s="14" t="s">
        <v>201</v>
      </c>
      <c r="I77" s="14" t="s">
        <v>221</v>
      </c>
      <c r="J77" s="14" t="s">
        <v>202</v>
      </c>
      <c r="K77" s="14" t="s">
        <v>89</v>
      </c>
      <c r="L77" s="14" t="s">
        <v>203</v>
      </c>
      <c r="M77" s="14" t="s">
        <v>222</v>
      </c>
      <c r="N77" s="14"/>
    </row>
    <row r="78" customFormat="false" ht="23.85" hidden="false" customHeight="false" outlineLevel="0" collapsed="false">
      <c r="A78" s="14" t="n">
        <v>74</v>
      </c>
      <c r="B78" s="15" t="s">
        <v>217</v>
      </c>
      <c r="C78" s="15" t="s">
        <v>223</v>
      </c>
      <c r="D78" s="14" t="s">
        <v>127</v>
      </c>
      <c r="E78" s="14"/>
      <c r="F78" s="14" t="s">
        <v>219</v>
      </c>
      <c r="G78" s="14" t="s">
        <v>220</v>
      </c>
      <c r="H78" s="14" t="s">
        <v>224</v>
      </c>
      <c r="I78" s="14" t="s">
        <v>221</v>
      </c>
      <c r="J78" s="14" t="s">
        <v>223</v>
      </c>
      <c r="K78" s="14" t="s">
        <v>89</v>
      </c>
      <c r="L78" s="14" t="s">
        <v>51</v>
      </c>
      <c r="M78" s="14" t="s">
        <v>222</v>
      </c>
      <c r="N78" s="14"/>
    </row>
    <row r="79" customFormat="false" ht="23.85" hidden="false" customHeight="false" outlineLevel="0" collapsed="false">
      <c r="A79" s="14" t="n">
        <v>75</v>
      </c>
      <c r="B79" s="15" t="s">
        <v>217</v>
      </c>
      <c r="C79" s="15" t="s">
        <v>225</v>
      </c>
      <c r="D79" s="14" t="s">
        <v>168</v>
      </c>
      <c r="E79" s="14"/>
      <c r="F79" s="14" t="s">
        <v>219</v>
      </c>
      <c r="G79" s="14" t="s">
        <v>220</v>
      </c>
      <c r="H79" s="14" t="s">
        <v>226</v>
      </c>
      <c r="I79" s="14" t="s">
        <v>221</v>
      </c>
      <c r="J79" s="14" t="s">
        <v>225</v>
      </c>
      <c r="K79" s="14" t="s">
        <v>89</v>
      </c>
      <c r="L79" s="14" t="s">
        <v>51</v>
      </c>
      <c r="M79" s="14" t="s">
        <v>222</v>
      </c>
      <c r="N79" s="14"/>
    </row>
    <row r="80" customFormat="false" ht="23.85" hidden="false" customHeight="false" outlineLevel="0" collapsed="false">
      <c r="A80" s="14" t="n">
        <v>76</v>
      </c>
      <c r="B80" s="15" t="s">
        <v>217</v>
      </c>
      <c r="C80" s="15" t="s">
        <v>227</v>
      </c>
      <c r="D80" s="14" t="s">
        <v>168</v>
      </c>
      <c r="E80" s="14"/>
      <c r="F80" s="14" t="s">
        <v>219</v>
      </c>
      <c r="G80" s="14" t="s">
        <v>220</v>
      </c>
      <c r="H80" s="14" t="s">
        <v>228</v>
      </c>
      <c r="I80" s="14" t="s">
        <v>221</v>
      </c>
      <c r="J80" s="14" t="s">
        <v>227</v>
      </c>
      <c r="K80" s="14" t="s">
        <v>89</v>
      </c>
      <c r="L80" s="14" t="s">
        <v>51</v>
      </c>
      <c r="M80" s="14" t="s">
        <v>222</v>
      </c>
      <c r="N80" s="14"/>
    </row>
    <row r="81" customFormat="false" ht="23.85" hidden="false" customHeight="false" outlineLevel="0" collapsed="false">
      <c r="A81" s="14" t="n">
        <v>77</v>
      </c>
      <c r="B81" s="15" t="s">
        <v>217</v>
      </c>
      <c r="C81" s="15" t="s">
        <v>229</v>
      </c>
      <c r="D81" s="14" t="s">
        <v>168</v>
      </c>
      <c r="E81" s="14"/>
      <c r="F81" s="14" t="s">
        <v>219</v>
      </c>
      <c r="G81" s="14" t="s">
        <v>220</v>
      </c>
      <c r="H81" s="14" t="s">
        <v>230</v>
      </c>
      <c r="I81" s="14" t="s">
        <v>221</v>
      </c>
      <c r="J81" s="14" t="s">
        <v>229</v>
      </c>
      <c r="K81" s="14" t="s">
        <v>89</v>
      </c>
      <c r="L81" s="14" t="s">
        <v>51</v>
      </c>
      <c r="M81" s="14" t="s">
        <v>222</v>
      </c>
      <c r="N81" s="14"/>
    </row>
    <row r="82" customFormat="false" ht="23.85" hidden="false" customHeight="false" outlineLevel="0" collapsed="false">
      <c r="A82" s="14" t="n">
        <v>78</v>
      </c>
      <c r="B82" s="15" t="s">
        <v>217</v>
      </c>
      <c r="C82" s="15" t="s">
        <v>231</v>
      </c>
      <c r="D82" s="14" t="s">
        <v>168</v>
      </c>
      <c r="E82" s="14"/>
      <c r="F82" s="14" t="s">
        <v>219</v>
      </c>
      <c r="G82" s="14" t="s">
        <v>220</v>
      </c>
      <c r="H82" s="14" t="s">
        <v>232</v>
      </c>
      <c r="I82" s="14" t="s">
        <v>221</v>
      </c>
      <c r="J82" s="14" t="s">
        <v>231</v>
      </c>
      <c r="K82" s="14" t="s">
        <v>89</v>
      </c>
      <c r="L82" s="14" t="s">
        <v>51</v>
      </c>
      <c r="M82" s="14" t="s">
        <v>222</v>
      </c>
      <c r="N82" s="14"/>
    </row>
    <row r="83" customFormat="false" ht="23.85" hidden="false" customHeight="false" outlineLevel="0" collapsed="false">
      <c r="A83" s="14" t="n">
        <v>79</v>
      </c>
      <c r="B83" s="15" t="s">
        <v>217</v>
      </c>
      <c r="C83" s="15" t="s">
        <v>100</v>
      </c>
      <c r="D83" s="14" t="s">
        <v>168</v>
      </c>
      <c r="E83" s="14"/>
      <c r="F83" s="14" t="s">
        <v>219</v>
      </c>
      <c r="G83" s="14" t="s">
        <v>220</v>
      </c>
      <c r="H83" s="14" t="s">
        <v>101</v>
      </c>
      <c r="I83" s="14" t="s">
        <v>221</v>
      </c>
      <c r="J83" s="14" t="s">
        <v>100</v>
      </c>
      <c r="K83" s="14" t="s">
        <v>89</v>
      </c>
      <c r="L83" s="14" t="s">
        <v>51</v>
      </c>
      <c r="M83" s="14" t="s">
        <v>222</v>
      </c>
      <c r="N83" s="14"/>
    </row>
    <row r="84" customFormat="false" ht="23.85" hidden="false" customHeight="false" outlineLevel="0" collapsed="false">
      <c r="A84" s="14" t="n">
        <v>80</v>
      </c>
      <c r="B84" s="15" t="s">
        <v>217</v>
      </c>
      <c r="C84" s="15" t="s">
        <v>233</v>
      </c>
      <c r="D84" s="14" t="s">
        <v>234</v>
      </c>
      <c r="E84" s="14"/>
      <c r="F84" s="14" t="s">
        <v>219</v>
      </c>
      <c r="G84" s="14" t="s">
        <v>220</v>
      </c>
      <c r="H84" s="14" t="s">
        <v>235</v>
      </c>
      <c r="I84" s="14" t="s">
        <v>221</v>
      </c>
      <c r="J84" s="14" t="s">
        <v>233</v>
      </c>
      <c r="K84" s="14" t="s">
        <v>89</v>
      </c>
      <c r="L84" s="14" t="s">
        <v>51</v>
      </c>
      <c r="M84" s="14" t="s">
        <v>222</v>
      </c>
      <c r="N84" s="14"/>
    </row>
    <row r="85" customFormat="false" ht="23.85" hidden="false" customHeight="false" outlineLevel="0" collapsed="false">
      <c r="A85" s="14" t="n">
        <v>81</v>
      </c>
      <c r="B85" s="15" t="s">
        <v>217</v>
      </c>
      <c r="C85" s="15" t="s">
        <v>236</v>
      </c>
      <c r="D85" s="14" t="s">
        <v>168</v>
      </c>
      <c r="E85" s="14"/>
      <c r="F85" s="14" t="s">
        <v>219</v>
      </c>
      <c r="G85" s="14" t="s">
        <v>220</v>
      </c>
      <c r="H85" s="14" t="s">
        <v>237</v>
      </c>
      <c r="I85" s="14" t="s">
        <v>221</v>
      </c>
      <c r="J85" s="14" t="s">
        <v>236</v>
      </c>
      <c r="K85" s="14" t="s">
        <v>89</v>
      </c>
      <c r="L85" s="14" t="s">
        <v>51</v>
      </c>
      <c r="M85" s="14" t="s">
        <v>222</v>
      </c>
      <c r="N85" s="14"/>
    </row>
    <row r="86" customFormat="false" ht="23.85" hidden="false" customHeight="false" outlineLevel="0" collapsed="false">
      <c r="A86" s="14" t="n">
        <v>82</v>
      </c>
      <c r="B86" s="15" t="s">
        <v>217</v>
      </c>
      <c r="C86" s="15" t="s">
        <v>238</v>
      </c>
      <c r="D86" s="14" t="s">
        <v>168</v>
      </c>
      <c r="E86" s="14"/>
      <c r="F86" s="14" t="s">
        <v>219</v>
      </c>
      <c r="G86" s="14" t="s">
        <v>220</v>
      </c>
      <c r="H86" s="14" t="s">
        <v>239</v>
      </c>
      <c r="I86" s="14" t="s">
        <v>221</v>
      </c>
      <c r="J86" s="14" t="s">
        <v>238</v>
      </c>
      <c r="K86" s="14" t="s">
        <v>89</v>
      </c>
      <c r="L86" s="14" t="s">
        <v>51</v>
      </c>
      <c r="M86" s="14" t="s">
        <v>222</v>
      </c>
      <c r="N86" s="14"/>
    </row>
    <row r="87" customFormat="false" ht="23.85" hidden="false" customHeight="false" outlineLevel="0" collapsed="false">
      <c r="A87" s="14" t="n">
        <v>83</v>
      </c>
      <c r="B87" s="15" t="s">
        <v>217</v>
      </c>
      <c r="C87" s="15" t="s">
        <v>240</v>
      </c>
      <c r="D87" s="14" t="s">
        <v>105</v>
      </c>
      <c r="E87" s="14"/>
      <c r="F87" s="14" t="s">
        <v>219</v>
      </c>
      <c r="G87" s="14" t="s">
        <v>220</v>
      </c>
      <c r="H87" s="14" t="s">
        <v>241</v>
      </c>
      <c r="I87" s="14" t="s">
        <v>221</v>
      </c>
      <c r="J87" s="14" t="s">
        <v>240</v>
      </c>
      <c r="K87" s="14" t="s">
        <v>89</v>
      </c>
      <c r="L87" s="14" t="s">
        <v>51</v>
      </c>
      <c r="M87" s="14" t="s">
        <v>222</v>
      </c>
      <c r="N87" s="14"/>
    </row>
    <row r="88" customFormat="false" ht="23.85" hidden="false" customHeight="false" outlineLevel="0" collapsed="false">
      <c r="A88" s="12" t="n">
        <v>84</v>
      </c>
      <c r="B88" s="13" t="s">
        <v>242</v>
      </c>
      <c r="C88" s="13" t="s">
        <v>243</v>
      </c>
      <c r="D88" s="12" t="s">
        <v>78</v>
      </c>
      <c r="E88" s="12" t="s">
        <v>20</v>
      </c>
      <c r="F88" s="12" t="s">
        <v>244</v>
      </c>
      <c r="G88" s="12" t="s">
        <v>245</v>
      </c>
      <c r="H88" s="12" t="s">
        <v>81</v>
      </c>
      <c r="I88" s="12" t="s">
        <v>246</v>
      </c>
      <c r="J88" s="12"/>
      <c r="K88" s="12" t="s">
        <v>50</v>
      </c>
      <c r="L88" s="12" t="s">
        <v>83</v>
      </c>
      <c r="M88" s="12" t="s">
        <v>247</v>
      </c>
      <c r="N88" s="12"/>
    </row>
    <row r="89" customFormat="false" ht="23.85" hidden="false" customHeight="false" outlineLevel="0" collapsed="false">
      <c r="A89" s="12" t="n">
        <v>85</v>
      </c>
      <c r="B89" s="13" t="s">
        <v>242</v>
      </c>
      <c r="C89" s="13" t="s">
        <v>248</v>
      </c>
      <c r="D89" s="12" t="s">
        <v>93</v>
      </c>
      <c r="E89" s="12" t="s">
        <v>116</v>
      </c>
      <c r="F89" s="12" t="s">
        <v>244</v>
      </c>
      <c r="G89" s="12" t="s">
        <v>245</v>
      </c>
      <c r="H89" s="12" t="s">
        <v>249</v>
      </c>
      <c r="I89" s="12" t="s">
        <v>246</v>
      </c>
      <c r="J89" s="12" t="s">
        <v>248</v>
      </c>
      <c r="K89" s="12" t="s">
        <v>89</v>
      </c>
      <c r="L89" s="12" t="s">
        <v>51</v>
      </c>
      <c r="M89" s="12" t="s">
        <v>247</v>
      </c>
      <c r="N89" s="12"/>
    </row>
    <row r="90" customFormat="false" ht="23.85" hidden="false" customHeight="false" outlineLevel="0" collapsed="false">
      <c r="A90" s="12" t="n">
        <v>86</v>
      </c>
      <c r="B90" s="13" t="s">
        <v>242</v>
      </c>
      <c r="C90" s="13" t="s">
        <v>250</v>
      </c>
      <c r="D90" s="12" t="s">
        <v>58</v>
      </c>
      <c r="E90" s="12" t="s">
        <v>200</v>
      </c>
      <c r="F90" s="12" t="s">
        <v>244</v>
      </c>
      <c r="G90" s="12" t="s">
        <v>245</v>
      </c>
      <c r="H90" s="12" t="s">
        <v>251</v>
      </c>
      <c r="I90" s="12" t="s">
        <v>246</v>
      </c>
      <c r="J90" s="12" t="s">
        <v>252</v>
      </c>
      <c r="K90" s="12" t="s">
        <v>89</v>
      </c>
      <c r="L90" s="12" t="s">
        <v>203</v>
      </c>
      <c r="M90" s="12" t="s">
        <v>247</v>
      </c>
      <c r="N90" s="12"/>
    </row>
    <row r="91" customFormat="false" ht="23.85" hidden="false" customHeight="false" outlineLevel="0" collapsed="false">
      <c r="A91" s="12" t="n">
        <v>87</v>
      </c>
      <c r="B91" s="13" t="s">
        <v>242</v>
      </c>
      <c r="C91" s="13" t="s">
        <v>253</v>
      </c>
      <c r="D91" s="12" t="s">
        <v>58</v>
      </c>
      <c r="E91" s="12" t="s">
        <v>254</v>
      </c>
      <c r="F91" s="12" t="s">
        <v>244</v>
      </c>
      <c r="G91" s="12" t="s">
        <v>245</v>
      </c>
      <c r="H91" s="12" t="s">
        <v>255</v>
      </c>
      <c r="I91" s="12" t="s">
        <v>246</v>
      </c>
      <c r="J91" s="12" t="s">
        <v>256</v>
      </c>
      <c r="K91" s="12" t="s">
        <v>89</v>
      </c>
      <c r="L91" s="12" t="s">
        <v>257</v>
      </c>
      <c r="M91" s="12" t="s">
        <v>247</v>
      </c>
      <c r="N91" s="12" t="s">
        <v>258</v>
      </c>
    </row>
    <row r="92" customFormat="false" ht="23.85" hidden="false" customHeight="false" outlineLevel="0" collapsed="false">
      <c r="A92" s="12" t="n">
        <v>88</v>
      </c>
      <c r="B92" s="13" t="s">
        <v>242</v>
      </c>
      <c r="C92" s="13" t="s">
        <v>259</v>
      </c>
      <c r="D92" s="12" t="s">
        <v>93</v>
      </c>
      <c r="E92" s="12"/>
      <c r="F92" s="12" t="s">
        <v>244</v>
      </c>
      <c r="G92" s="12" t="s">
        <v>245</v>
      </c>
      <c r="H92" s="12" t="s">
        <v>260</v>
      </c>
      <c r="I92" s="12" t="s">
        <v>246</v>
      </c>
      <c r="J92" s="12" t="s">
        <v>259</v>
      </c>
      <c r="K92" s="12" t="s">
        <v>89</v>
      </c>
      <c r="L92" s="12" t="s">
        <v>51</v>
      </c>
      <c r="M92" s="12" t="s">
        <v>247</v>
      </c>
      <c r="N92" s="12" t="s">
        <v>261</v>
      </c>
    </row>
    <row r="93" customFormat="false" ht="23.85" hidden="false" customHeight="false" outlineLevel="0" collapsed="false">
      <c r="A93" s="12" t="n">
        <v>89</v>
      </c>
      <c r="B93" s="13" t="s">
        <v>242</v>
      </c>
      <c r="C93" s="13" t="s">
        <v>262</v>
      </c>
      <c r="D93" s="12" t="s">
        <v>127</v>
      </c>
      <c r="E93" s="12"/>
      <c r="F93" s="12" t="s">
        <v>244</v>
      </c>
      <c r="G93" s="12" t="s">
        <v>245</v>
      </c>
      <c r="H93" s="12" t="s">
        <v>263</v>
      </c>
      <c r="I93" s="12" t="s">
        <v>246</v>
      </c>
      <c r="J93" s="12" t="s">
        <v>262</v>
      </c>
      <c r="K93" s="12" t="s">
        <v>89</v>
      </c>
      <c r="L93" s="12" t="s">
        <v>51</v>
      </c>
      <c r="M93" s="12" t="s">
        <v>247</v>
      </c>
      <c r="N93" s="12"/>
    </row>
    <row r="94" customFormat="false" ht="23.85" hidden="false" customHeight="false" outlineLevel="0" collapsed="false">
      <c r="A94" s="12" t="n">
        <v>90</v>
      </c>
      <c r="B94" s="13" t="s">
        <v>242</v>
      </c>
      <c r="C94" s="13" t="s">
        <v>264</v>
      </c>
      <c r="D94" s="12" t="s">
        <v>129</v>
      </c>
      <c r="E94" s="12"/>
      <c r="F94" s="12" t="s">
        <v>244</v>
      </c>
      <c r="G94" s="12" t="s">
        <v>245</v>
      </c>
      <c r="H94" s="12" t="s">
        <v>265</v>
      </c>
      <c r="I94" s="12" t="s">
        <v>246</v>
      </c>
      <c r="J94" s="12" t="s">
        <v>264</v>
      </c>
      <c r="K94" s="12" t="s">
        <v>89</v>
      </c>
      <c r="L94" s="12" t="s">
        <v>51</v>
      </c>
      <c r="M94" s="12" t="s">
        <v>247</v>
      </c>
      <c r="N94" s="12"/>
    </row>
    <row r="95" customFormat="false" ht="23.85" hidden="false" customHeight="false" outlineLevel="0" collapsed="false">
      <c r="A95" s="12" t="n">
        <v>91</v>
      </c>
      <c r="B95" s="13" t="s">
        <v>242</v>
      </c>
      <c r="C95" s="13" t="s">
        <v>266</v>
      </c>
      <c r="D95" s="12" t="s">
        <v>127</v>
      </c>
      <c r="E95" s="12"/>
      <c r="F95" s="12" t="s">
        <v>244</v>
      </c>
      <c r="G95" s="12" t="s">
        <v>245</v>
      </c>
      <c r="H95" s="12" t="s">
        <v>267</v>
      </c>
      <c r="I95" s="12" t="s">
        <v>246</v>
      </c>
      <c r="J95" s="12" t="s">
        <v>266</v>
      </c>
      <c r="K95" s="12" t="s">
        <v>89</v>
      </c>
      <c r="L95" s="12" t="s">
        <v>51</v>
      </c>
      <c r="M95" s="12" t="s">
        <v>247</v>
      </c>
      <c r="N95" s="12"/>
    </row>
    <row r="96" customFormat="false" ht="23.85" hidden="false" customHeight="false" outlineLevel="0" collapsed="false">
      <c r="A96" s="12" t="n">
        <v>92</v>
      </c>
      <c r="B96" s="13" t="s">
        <v>242</v>
      </c>
      <c r="C96" s="13" t="s">
        <v>268</v>
      </c>
      <c r="D96" s="12" t="s">
        <v>122</v>
      </c>
      <c r="E96" s="12"/>
      <c r="F96" s="12" t="s">
        <v>244</v>
      </c>
      <c r="G96" s="12" t="s">
        <v>245</v>
      </c>
      <c r="H96" s="12" t="s">
        <v>269</v>
      </c>
      <c r="I96" s="12" t="s">
        <v>246</v>
      </c>
      <c r="J96" s="12" t="s">
        <v>268</v>
      </c>
      <c r="K96" s="12" t="s">
        <v>89</v>
      </c>
      <c r="L96" s="12" t="s">
        <v>51</v>
      </c>
      <c r="M96" s="12" t="s">
        <v>247</v>
      </c>
      <c r="N96" s="12"/>
    </row>
    <row r="97" customFormat="false" ht="23.85" hidden="false" customHeight="false" outlineLevel="0" collapsed="false">
      <c r="A97" s="12" t="n">
        <v>93</v>
      </c>
      <c r="B97" s="13" t="s">
        <v>242</v>
      </c>
      <c r="C97" s="13" t="s">
        <v>270</v>
      </c>
      <c r="D97" s="12" t="s">
        <v>122</v>
      </c>
      <c r="E97" s="12"/>
      <c r="F97" s="12" t="s">
        <v>244</v>
      </c>
      <c r="G97" s="12" t="s">
        <v>245</v>
      </c>
      <c r="H97" s="12" t="s">
        <v>271</v>
      </c>
      <c r="I97" s="12" t="s">
        <v>246</v>
      </c>
      <c r="J97" s="12" t="s">
        <v>270</v>
      </c>
      <c r="K97" s="12" t="s">
        <v>89</v>
      </c>
      <c r="L97" s="12" t="s">
        <v>51</v>
      </c>
      <c r="M97" s="12" t="s">
        <v>247</v>
      </c>
      <c r="N97" s="12"/>
    </row>
    <row r="98" customFormat="false" ht="23.85" hidden="false" customHeight="false" outlineLevel="0" collapsed="false">
      <c r="A98" s="12" t="n">
        <v>94</v>
      </c>
      <c r="B98" s="13" t="s">
        <v>242</v>
      </c>
      <c r="C98" s="13" t="s">
        <v>272</v>
      </c>
      <c r="D98" s="12" t="s">
        <v>122</v>
      </c>
      <c r="E98" s="12"/>
      <c r="F98" s="12" t="s">
        <v>244</v>
      </c>
      <c r="G98" s="12" t="s">
        <v>245</v>
      </c>
      <c r="H98" s="12" t="s">
        <v>273</v>
      </c>
      <c r="I98" s="12" t="s">
        <v>246</v>
      </c>
      <c r="J98" s="12" t="s">
        <v>272</v>
      </c>
      <c r="K98" s="12" t="s">
        <v>89</v>
      </c>
      <c r="L98" s="12" t="s">
        <v>51</v>
      </c>
      <c r="M98" s="12" t="s">
        <v>247</v>
      </c>
      <c r="N98" s="12"/>
    </row>
    <row r="99" customFormat="false" ht="23.85" hidden="false" customHeight="false" outlineLevel="0" collapsed="false">
      <c r="A99" s="12" t="n">
        <v>95</v>
      </c>
      <c r="B99" s="13" t="s">
        <v>242</v>
      </c>
      <c r="C99" s="13" t="s">
        <v>274</v>
      </c>
      <c r="D99" s="12" t="s">
        <v>275</v>
      </c>
      <c r="E99" s="12"/>
      <c r="F99" s="12" t="s">
        <v>244</v>
      </c>
      <c r="G99" s="12" t="s">
        <v>245</v>
      </c>
      <c r="H99" s="12" t="s">
        <v>276</v>
      </c>
      <c r="I99" s="12" t="s">
        <v>246</v>
      </c>
      <c r="J99" s="12" t="s">
        <v>274</v>
      </c>
      <c r="K99" s="12" t="s">
        <v>89</v>
      </c>
      <c r="L99" s="12" t="s">
        <v>51</v>
      </c>
      <c r="M99" s="12" t="s">
        <v>247</v>
      </c>
      <c r="N99" s="12"/>
    </row>
    <row r="100" customFormat="false" ht="23.85" hidden="false" customHeight="false" outlineLevel="0" collapsed="false">
      <c r="A100" s="14" t="n">
        <v>96</v>
      </c>
      <c r="B100" s="15" t="s">
        <v>277</v>
      </c>
      <c r="C100" s="15" t="s">
        <v>278</v>
      </c>
      <c r="D100" s="14" t="s">
        <v>78</v>
      </c>
      <c r="E100" s="14" t="s">
        <v>20</v>
      </c>
      <c r="F100" s="14" t="s">
        <v>279</v>
      </c>
      <c r="G100" s="14" t="s">
        <v>280</v>
      </c>
      <c r="H100" s="14" t="s">
        <v>81</v>
      </c>
      <c r="I100" s="14" t="s">
        <v>281</v>
      </c>
      <c r="J100" s="14"/>
      <c r="K100" s="14" t="s">
        <v>50</v>
      </c>
      <c r="L100" s="14" t="s">
        <v>83</v>
      </c>
      <c r="M100" s="14" t="s">
        <v>282</v>
      </c>
      <c r="N100" s="14"/>
    </row>
    <row r="101" customFormat="false" ht="23.85" hidden="false" customHeight="false" outlineLevel="0" collapsed="false">
      <c r="A101" s="14" t="n">
        <v>97</v>
      </c>
      <c r="B101" s="15" t="s">
        <v>277</v>
      </c>
      <c r="C101" s="15" t="s">
        <v>283</v>
      </c>
      <c r="D101" s="14" t="s">
        <v>93</v>
      </c>
      <c r="E101" s="14" t="s">
        <v>116</v>
      </c>
      <c r="F101" s="14" t="s">
        <v>279</v>
      </c>
      <c r="G101" s="14" t="s">
        <v>280</v>
      </c>
      <c r="H101" s="14" t="s">
        <v>284</v>
      </c>
      <c r="I101" s="14" t="s">
        <v>281</v>
      </c>
      <c r="J101" s="14" t="s">
        <v>283</v>
      </c>
      <c r="K101" s="14" t="s">
        <v>89</v>
      </c>
      <c r="L101" s="14" t="s">
        <v>51</v>
      </c>
      <c r="M101" s="14" t="s">
        <v>282</v>
      </c>
      <c r="N101" s="14"/>
    </row>
    <row r="102" customFormat="false" ht="23.85" hidden="false" customHeight="false" outlineLevel="0" collapsed="false">
      <c r="A102" s="14" t="n">
        <v>98</v>
      </c>
      <c r="B102" s="15" t="s">
        <v>277</v>
      </c>
      <c r="C102" s="15" t="s">
        <v>285</v>
      </c>
      <c r="D102" s="14" t="s">
        <v>58</v>
      </c>
      <c r="E102" s="14" t="s">
        <v>200</v>
      </c>
      <c r="F102" s="14" t="s">
        <v>279</v>
      </c>
      <c r="G102" s="14" t="s">
        <v>280</v>
      </c>
      <c r="H102" s="14" t="s">
        <v>286</v>
      </c>
      <c r="I102" s="14" t="s">
        <v>281</v>
      </c>
      <c r="J102" s="14" t="s">
        <v>287</v>
      </c>
      <c r="K102" s="14" t="s">
        <v>89</v>
      </c>
      <c r="L102" s="14" t="s">
        <v>203</v>
      </c>
      <c r="M102" s="14" t="s">
        <v>282</v>
      </c>
      <c r="N102" s="14"/>
    </row>
    <row r="103" customFormat="false" ht="23.85" hidden="false" customHeight="false" outlineLevel="0" collapsed="false">
      <c r="A103" s="14" t="n">
        <v>99</v>
      </c>
      <c r="B103" s="15" t="s">
        <v>277</v>
      </c>
      <c r="C103" s="15" t="s">
        <v>288</v>
      </c>
      <c r="D103" s="14" t="s">
        <v>58</v>
      </c>
      <c r="E103" s="14" t="s">
        <v>254</v>
      </c>
      <c r="F103" s="14" t="s">
        <v>279</v>
      </c>
      <c r="G103" s="14" t="s">
        <v>280</v>
      </c>
      <c r="H103" s="14" t="s">
        <v>289</v>
      </c>
      <c r="I103" s="14" t="s">
        <v>281</v>
      </c>
      <c r="J103" s="14" t="s">
        <v>290</v>
      </c>
      <c r="K103" s="14" t="s">
        <v>89</v>
      </c>
      <c r="L103" s="14" t="s">
        <v>257</v>
      </c>
      <c r="M103" s="14" t="s">
        <v>282</v>
      </c>
      <c r="N103" s="14"/>
    </row>
    <row r="104" customFormat="false" ht="23.85" hidden="false" customHeight="false" outlineLevel="0" collapsed="false">
      <c r="A104" s="14" t="n">
        <v>100</v>
      </c>
      <c r="B104" s="15" t="s">
        <v>277</v>
      </c>
      <c r="C104" s="15" t="s">
        <v>291</v>
      </c>
      <c r="D104" s="14" t="s">
        <v>58</v>
      </c>
      <c r="E104" s="14" t="s">
        <v>254</v>
      </c>
      <c r="F104" s="14" t="s">
        <v>279</v>
      </c>
      <c r="G104" s="14" t="s">
        <v>280</v>
      </c>
      <c r="H104" s="14" t="s">
        <v>292</v>
      </c>
      <c r="I104" s="14" t="s">
        <v>281</v>
      </c>
      <c r="J104" s="14" t="s">
        <v>293</v>
      </c>
      <c r="K104" s="14" t="s">
        <v>89</v>
      </c>
      <c r="L104" s="14" t="s">
        <v>257</v>
      </c>
      <c r="M104" s="14" t="s">
        <v>282</v>
      </c>
      <c r="N104" s="14"/>
    </row>
    <row r="105" customFormat="false" ht="23.85" hidden="false" customHeight="false" outlineLevel="0" collapsed="false">
      <c r="A105" s="14" t="n">
        <v>101</v>
      </c>
      <c r="B105" s="15" t="s">
        <v>277</v>
      </c>
      <c r="C105" s="15" t="s">
        <v>294</v>
      </c>
      <c r="D105" s="14" t="s">
        <v>93</v>
      </c>
      <c r="E105" s="14"/>
      <c r="F105" s="14" t="s">
        <v>279</v>
      </c>
      <c r="G105" s="14" t="s">
        <v>280</v>
      </c>
      <c r="H105" s="14" t="s">
        <v>295</v>
      </c>
      <c r="I105" s="14" t="s">
        <v>281</v>
      </c>
      <c r="J105" s="14" t="s">
        <v>294</v>
      </c>
      <c r="K105" s="14" t="s">
        <v>89</v>
      </c>
      <c r="L105" s="14" t="s">
        <v>51</v>
      </c>
      <c r="M105" s="14" t="s">
        <v>282</v>
      </c>
      <c r="N105" s="14" t="s">
        <v>296</v>
      </c>
    </row>
    <row r="106" customFormat="false" ht="23.85" hidden="false" customHeight="false" outlineLevel="0" collapsed="false">
      <c r="A106" s="14" t="n">
        <v>102</v>
      </c>
      <c r="B106" s="15" t="s">
        <v>277</v>
      </c>
      <c r="C106" s="15" t="s">
        <v>297</v>
      </c>
      <c r="D106" s="14" t="s">
        <v>87</v>
      </c>
      <c r="E106" s="14"/>
      <c r="F106" s="14" t="s">
        <v>279</v>
      </c>
      <c r="G106" s="14" t="s">
        <v>280</v>
      </c>
      <c r="H106" s="14" t="s">
        <v>298</v>
      </c>
      <c r="I106" s="14" t="s">
        <v>281</v>
      </c>
      <c r="J106" s="14" t="s">
        <v>297</v>
      </c>
      <c r="K106" s="14" t="s">
        <v>89</v>
      </c>
      <c r="L106" s="14" t="s">
        <v>51</v>
      </c>
      <c r="M106" s="14" t="s">
        <v>282</v>
      </c>
      <c r="N106" s="14"/>
    </row>
    <row r="107" customFormat="false" ht="23.85" hidden="false" customHeight="false" outlineLevel="0" collapsed="false">
      <c r="A107" s="14" t="n">
        <v>103</v>
      </c>
      <c r="B107" s="15" t="s">
        <v>277</v>
      </c>
      <c r="C107" s="15" t="s">
        <v>299</v>
      </c>
      <c r="D107" s="14" t="s">
        <v>127</v>
      </c>
      <c r="E107" s="14"/>
      <c r="F107" s="14" t="s">
        <v>279</v>
      </c>
      <c r="G107" s="14" t="s">
        <v>280</v>
      </c>
      <c r="H107" s="14" t="s">
        <v>300</v>
      </c>
      <c r="I107" s="14" t="s">
        <v>281</v>
      </c>
      <c r="J107" s="14" t="s">
        <v>299</v>
      </c>
      <c r="K107" s="14" t="s">
        <v>89</v>
      </c>
      <c r="L107" s="14" t="s">
        <v>51</v>
      </c>
      <c r="M107" s="14" t="s">
        <v>282</v>
      </c>
      <c r="N107" s="14"/>
    </row>
    <row r="108" customFormat="false" ht="23.85" hidden="false" customHeight="false" outlineLevel="0" collapsed="false">
      <c r="A108" s="14" t="n">
        <v>104</v>
      </c>
      <c r="B108" s="15" t="s">
        <v>277</v>
      </c>
      <c r="C108" s="15" t="s">
        <v>156</v>
      </c>
      <c r="D108" s="14" t="s">
        <v>87</v>
      </c>
      <c r="E108" s="14"/>
      <c r="F108" s="14" t="s">
        <v>279</v>
      </c>
      <c r="G108" s="14" t="s">
        <v>280</v>
      </c>
      <c r="H108" s="14" t="s">
        <v>301</v>
      </c>
      <c r="I108" s="14" t="s">
        <v>281</v>
      </c>
      <c r="J108" s="14" t="s">
        <v>156</v>
      </c>
      <c r="K108" s="14" t="s">
        <v>89</v>
      </c>
      <c r="L108" s="14" t="s">
        <v>51</v>
      </c>
      <c r="M108" s="14" t="s">
        <v>282</v>
      </c>
      <c r="N108" s="14"/>
    </row>
    <row r="109" customFormat="false" ht="23.85" hidden="false" customHeight="false" outlineLevel="0" collapsed="false">
      <c r="A109" s="14" t="n">
        <v>105</v>
      </c>
      <c r="B109" s="15" t="s">
        <v>277</v>
      </c>
      <c r="C109" s="15" t="s">
        <v>302</v>
      </c>
      <c r="D109" s="14" t="s">
        <v>129</v>
      </c>
      <c r="E109" s="14"/>
      <c r="F109" s="14" t="s">
        <v>279</v>
      </c>
      <c r="G109" s="14" t="s">
        <v>280</v>
      </c>
      <c r="H109" s="14" t="s">
        <v>303</v>
      </c>
      <c r="I109" s="14" t="s">
        <v>281</v>
      </c>
      <c r="J109" s="14" t="s">
        <v>302</v>
      </c>
      <c r="K109" s="14" t="s">
        <v>89</v>
      </c>
      <c r="L109" s="14" t="s">
        <v>51</v>
      </c>
      <c r="M109" s="14" t="s">
        <v>282</v>
      </c>
      <c r="N109" s="14"/>
    </row>
    <row r="110" customFormat="false" ht="23.85" hidden="false" customHeight="false" outlineLevel="0" collapsed="false">
      <c r="A110" s="14" t="n">
        <v>106</v>
      </c>
      <c r="B110" s="15" t="s">
        <v>277</v>
      </c>
      <c r="C110" s="15" t="s">
        <v>304</v>
      </c>
      <c r="D110" s="14" t="s">
        <v>305</v>
      </c>
      <c r="E110" s="14"/>
      <c r="F110" s="14" t="s">
        <v>279</v>
      </c>
      <c r="G110" s="14" t="s">
        <v>280</v>
      </c>
      <c r="H110" s="14" t="s">
        <v>306</v>
      </c>
      <c r="I110" s="14" t="s">
        <v>281</v>
      </c>
      <c r="J110" s="14" t="s">
        <v>304</v>
      </c>
      <c r="K110" s="14" t="s">
        <v>89</v>
      </c>
      <c r="L110" s="14" t="s">
        <v>51</v>
      </c>
      <c r="M110" s="14" t="s">
        <v>282</v>
      </c>
      <c r="N110" s="14"/>
    </row>
    <row r="111" customFormat="false" ht="23.85" hidden="false" customHeight="false" outlineLevel="0" collapsed="false">
      <c r="A111" s="14" t="n">
        <v>107</v>
      </c>
      <c r="B111" s="15" t="s">
        <v>277</v>
      </c>
      <c r="C111" s="15" t="s">
        <v>307</v>
      </c>
      <c r="D111" s="14" t="s">
        <v>168</v>
      </c>
      <c r="E111" s="14"/>
      <c r="F111" s="14" t="s">
        <v>279</v>
      </c>
      <c r="G111" s="14" t="s">
        <v>280</v>
      </c>
      <c r="H111" s="14" t="s">
        <v>308</v>
      </c>
      <c r="I111" s="14" t="s">
        <v>281</v>
      </c>
      <c r="J111" s="14" t="s">
        <v>307</v>
      </c>
      <c r="K111" s="14" t="s">
        <v>89</v>
      </c>
      <c r="L111" s="14" t="s">
        <v>51</v>
      </c>
      <c r="M111" s="14" t="s">
        <v>282</v>
      </c>
      <c r="N111" s="14"/>
    </row>
    <row r="112" customFormat="false" ht="23.85" hidden="false" customHeight="false" outlineLevel="0" collapsed="false">
      <c r="A112" s="14" t="n">
        <v>108</v>
      </c>
      <c r="B112" s="15" t="s">
        <v>277</v>
      </c>
      <c r="C112" s="15" t="s">
        <v>309</v>
      </c>
      <c r="D112" s="14" t="s">
        <v>58</v>
      </c>
      <c r="E112" s="14"/>
      <c r="F112" s="14" t="s">
        <v>279</v>
      </c>
      <c r="G112" s="14" t="s">
        <v>280</v>
      </c>
      <c r="H112" s="14" t="s">
        <v>310</v>
      </c>
      <c r="I112" s="14" t="s">
        <v>281</v>
      </c>
      <c r="J112" s="14" t="s">
        <v>309</v>
      </c>
      <c r="K112" s="14" t="s">
        <v>89</v>
      </c>
      <c r="L112" s="14" t="s">
        <v>51</v>
      </c>
      <c r="M112" s="14" t="s">
        <v>282</v>
      </c>
      <c r="N112" s="14"/>
    </row>
    <row r="113" customFormat="false" ht="23.85" hidden="false" customHeight="false" outlineLevel="0" collapsed="false">
      <c r="A113" s="14" t="n">
        <v>109</v>
      </c>
      <c r="B113" s="15" t="s">
        <v>277</v>
      </c>
      <c r="C113" s="15" t="s">
        <v>311</v>
      </c>
      <c r="D113" s="14" t="s">
        <v>58</v>
      </c>
      <c r="E113" s="14"/>
      <c r="F113" s="14" t="s">
        <v>279</v>
      </c>
      <c r="G113" s="14" t="s">
        <v>280</v>
      </c>
      <c r="H113" s="14" t="s">
        <v>312</v>
      </c>
      <c r="I113" s="14" t="s">
        <v>281</v>
      </c>
      <c r="J113" s="14" t="s">
        <v>311</v>
      </c>
      <c r="K113" s="14" t="s">
        <v>89</v>
      </c>
      <c r="L113" s="14" t="s">
        <v>51</v>
      </c>
      <c r="M113" s="14" t="s">
        <v>282</v>
      </c>
      <c r="N113" s="14"/>
    </row>
    <row r="114" customFormat="false" ht="23.85" hidden="false" customHeight="false" outlineLevel="0" collapsed="false">
      <c r="A114" s="12" t="n">
        <v>110</v>
      </c>
      <c r="B114" s="13" t="s">
        <v>313</v>
      </c>
      <c r="C114" s="13" t="s">
        <v>314</v>
      </c>
      <c r="D114" s="12" t="s">
        <v>78</v>
      </c>
      <c r="E114" s="12" t="s">
        <v>20</v>
      </c>
      <c r="F114" s="12" t="s">
        <v>133</v>
      </c>
      <c r="G114" s="12" t="s">
        <v>134</v>
      </c>
      <c r="H114" s="12" t="s">
        <v>81</v>
      </c>
      <c r="I114" s="12" t="s">
        <v>135</v>
      </c>
      <c r="J114" s="12"/>
      <c r="K114" s="12" t="s">
        <v>50</v>
      </c>
      <c r="L114" s="12" t="s">
        <v>83</v>
      </c>
      <c r="M114" s="12" t="s">
        <v>315</v>
      </c>
      <c r="N114" s="12"/>
    </row>
    <row r="115" customFormat="false" ht="23.85" hidden="false" customHeight="false" outlineLevel="0" collapsed="false">
      <c r="A115" s="12" t="n">
        <v>111</v>
      </c>
      <c r="B115" s="13" t="s">
        <v>313</v>
      </c>
      <c r="C115" s="13" t="s">
        <v>316</v>
      </c>
      <c r="D115" s="12" t="s">
        <v>93</v>
      </c>
      <c r="E115" s="12" t="s">
        <v>116</v>
      </c>
      <c r="F115" s="12" t="s">
        <v>133</v>
      </c>
      <c r="G115" s="12" t="s">
        <v>134</v>
      </c>
      <c r="H115" s="12" t="s">
        <v>316</v>
      </c>
      <c r="I115" s="12" t="s">
        <v>135</v>
      </c>
      <c r="J115" s="12" t="s">
        <v>316</v>
      </c>
      <c r="K115" s="12" t="s">
        <v>117</v>
      </c>
      <c r="L115" s="12" t="s">
        <v>51</v>
      </c>
      <c r="M115" s="12" t="s">
        <v>315</v>
      </c>
      <c r="N115" s="12"/>
    </row>
    <row r="116" customFormat="false" ht="23.85" hidden="false" customHeight="false" outlineLevel="0" collapsed="false">
      <c r="A116" s="12" t="n">
        <v>112</v>
      </c>
      <c r="B116" s="13" t="s">
        <v>313</v>
      </c>
      <c r="C116" s="13" t="s">
        <v>317</v>
      </c>
      <c r="D116" s="12" t="s">
        <v>58</v>
      </c>
      <c r="E116" s="12" t="s">
        <v>200</v>
      </c>
      <c r="F116" s="12" t="s">
        <v>133</v>
      </c>
      <c r="G116" s="12" t="s">
        <v>134</v>
      </c>
      <c r="H116" s="12" t="s">
        <v>318</v>
      </c>
      <c r="I116" s="12" t="s">
        <v>135</v>
      </c>
      <c r="J116" s="12" t="s">
        <v>318</v>
      </c>
      <c r="K116" s="12" t="s">
        <v>117</v>
      </c>
      <c r="L116" s="12" t="s">
        <v>203</v>
      </c>
      <c r="M116" s="12" t="s">
        <v>315</v>
      </c>
      <c r="N116" s="12"/>
    </row>
    <row r="117" customFormat="false" ht="23.85" hidden="false" customHeight="false" outlineLevel="0" collapsed="false">
      <c r="A117" s="12" t="n">
        <v>113</v>
      </c>
      <c r="B117" s="13" t="s">
        <v>313</v>
      </c>
      <c r="C117" s="13" t="s">
        <v>319</v>
      </c>
      <c r="D117" s="12" t="s">
        <v>58</v>
      </c>
      <c r="E117" s="12" t="s">
        <v>254</v>
      </c>
      <c r="F117" s="12" t="s">
        <v>133</v>
      </c>
      <c r="G117" s="12" t="s">
        <v>134</v>
      </c>
      <c r="H117" s="12" t="s">
        <v>320</v>
      </c>
      <c r="I117" s="12" t="s">
        <v>135</v>
      </c>
      <c r="J117" s="12" t="s">
        <v>320</v>
      </c>
      <c r="K117" s="12" t="s">
        <v>117</v>
      </c>
      <c r="L117" s="12" t="s">
        <v>257</v>
      </c>
      <c r="M117" s="12" t="s">
        <v>315</v>
      </c>
      <c r="N117" s="12"/>
    </row>
    <row r="118" customFormat="false" ht="23.85" hidden="false" customHeight="false" outlineLevel="0" collapsed="false">
      <c r="A118" s="12" t="n">
        <v>114</v>
      </c>
      <c r="B118" s="13" t="s">
        <v>313</v>
      </c>
      <c r="C118" s="13" t="s">
        <v>132</v>
      </c>
      <c r="D118" s="12" t="s">
        <v>58</v>
      </c>
      <c r="E118" s="12" t="s">
        <v>321</v>
      </c>
      <c r="F118" s="12" t="s">
        <v>133</v>
      </c>
      <c r="G118" s="12" t="s">
        <v>134</v>
      </c>
      <c r="H118" s="12" t="s">
        <v>137</v>
      </c>
      <c r="I118" s="12" t="s">
        <v>135</v>
      </c>
      <c r="J118" s="12" t="s">
        <v>137</v>
      </c>
      <c r="K118" s="12" t="s">
        <v>117</v>
      </c>
      <c r="L118" s="12" t="s">
        <v>322</v>
      </c>
      <c r="M118" s="12" t="s">
        <v>315</v>
      </c>
      <c r="N118" s="12"/>
    </row>
    <row r="119" customFormat="false" ht="23.85" hidden="false" customHeight="false" outlineLevel="0" collapsed="false">
      <c r="A119" s="12" t="n">
        <v>115</v>
      </c>
      <c r="B119" s="13" t="s">
        <v>313</v>
      </c>
      <c r="C119" s="13" t="s">
        <v>323</v>
      </c>
      <c r="D119" s="12" t="s">
        <v>147</v>
      </c>
      <c r="E119" s="12"/>
      <c r="F119" s="12" t="s">
        <v>133</v>
      </c>
      <c r="G119" s="12" t="s">
        <v>134</v>
      </c>
      <c r="H119" s="12" t="s">
        <v>323</v>
      </c>
      <c r="I119" s="12" t="s">
        <v>135</v>
      </c>
      <c r="J119" s="12" t="s">
        <v>323</v>
      </c>
      <c r="K119" s="12" t="s">
        <v>117</v>
      </c>
      <c r="L119" s="12" t="s">
        <v>51</v>
      </c>
      <c r="M119" s="12" t="s">
        <v>315</v>
      </c>
      <c r="N119" s="12" t="s">
        <v>324</v>
      </c>
    </row>
    <row r="120" customFormat="false" ht="23.85" hidden="false" customHeight="false" outlineLevel="0" collapsed="false">
      <c r="A120" s="12" t="n">
        <v>116</v>
      </c>
      <c r="B120" s="13" t="s">
        <v>313</v>
      </c>
      <c r="C120" s="13" t="s">
        <v>176</v>
      </c>
      <c r="D120" s="12" t="s">
        <v>93</v>
      </c>
      <c r="E120" s="12"/>
      <c r="F120" s="12" t="s">
        <v>133</v>
      </c>
      <c r="G120" s="12" t="s">
        <v>134</v>
      </c>
      <c r="H120" s="12" t="s">
        <v>176</v>
      </c>
      <c r="I120" s="12" t="s">
        <v>135</v>
      </c>
      <c r="J120" s="12" t="s">
        <v>176</v>
      </c>
      <c r="K120" s="12" t="s">
        <v>117</v>
      </c>
      <c r="L120" s="12" t="s">
        <v>51</v>
      </c>
      <c r="M120" s="12" t="s">
        <v>315</v>
      </c>
      <c r="N120" s="12" t="s">
        <v>325</v>
      </c>
    </row>
    <row r="121" customFormat="false" ht="23.85" hidden="false" customHeight="false" outlineLevel="0" collapsed="false">
      <c r="A121" s="12" t="n">
        <v>117</v>
      </c>
      <c r="B121" s="13" t="s">
        <v>313</v>
      </c>
      <c r="C121" s="13" t="s">
        <v>178</v>
      </c>
      <c r="D121" s="12" t="s">
        <v>147</v>
      </c>
      <c r="E121" s="12"/>
      <c r="F121" s="12" t="s">
        <v>133</v>
      </c>
      <c r="G121" s="12" t="s">
        <v>134</v>
      </c>
      <c r="H121" s="12" t="s">
        <v>178</v>
      </c>
      <c r="I121" s="12" t="s">
        <v>135</v>
      </c>
      <c r="J121" s="12" t="s">
        <v>178</v>
      </c>
      <c r="K121" s="12" t="s">
        <v>117</v>
      </c>
      <c r="L121" s="12" t="s">
        <v>51</v>
      </c>
      <c r="M121" s="12" t="s">
        <v>315</v>
      </c>
      <c r="N121" s="12"/>
    </row>
    <row r="122" customFormat="false" ht="23.85" hidden="false" customHeight="false" outlineLevel="0" collapsed="false">
      <c r="A122" s="12" t="n">
        <v>118</v>
      </c>
      <c r="B122" s="13" t="s">
        <v>313</v>
      </c>
      <c r="C122" s="13" t="s">
        <v>326</v>
      </c>
      <c r="D122" s="12" t="s">
        <v>129</v>
      </c>
      <c r="E122" s="12"/>
      <c r="F122" s="12" t="s">
        <v>133</v>
      </c>
      <c r="G122" s="12" t="s">
        <v>134</v>
      </c>
      <c r="H122" s="12" t="s">
        <v>326</v>
      </c>
      <c r="I122" s="12" t="s">
        <v>135</v>
      </c>
      <c r="J122" s="12" t="s">
        <v>326</v>
      </c>
      <c r="K122" s="12" t="s">
        <v>117</v>
      </c>
      <c r="L122" s="12" t="s">
        <v>51</v>
      </c>
      <c r="M122" s="12" t="s">
        <v>315</v>
      </c>
      <c r="N122" s="12"/>
    </row>
    <row r="123" customFormat="false" ht="23.85" hidden="false" customHeight="false" outlineLevel="0" collapsed="false">
      <c r="A123" s="12" t="n">
        <v>119</v>
      </c>
      <c r="B123" s="13" t="s">
        <v>313</v>
      </c>
      <c r="C123" s="13" t="s">
        <v>209</v>
      </c>
      <c r="D123" s="12" t="s">
        <v>58</v>
      </c>
      <c r="E123" s="12"/>
      <c r="F123" s="12" t="s">
        <v>133</v>
      </c>
      <c r="G123" s="12" t="s">
        <v>134</v>
      </c>
      <c r="H123" s="12" t="s">
        <v>209</v>
      </c>
      <c r="I123" s="12" t="s">
        <v>135</v>
      </c>
      <c r="J123" s="12" t="s">
        <v>209</v>
      </c>
      <c r="K123" s="12" t="s">
        <v>117</v>
      </c>
      <c r="L123" s="12" t="s">
        <v>51</v>
      </c>
      <c r="M123" s="12" t="s">
        <v>315</v>
      </c>
      <c r="N123" s="12"/>
    </row>
    <row r="124" customFormat="false" ht="23.85" hidden="false" customHeight="false" outlineLevel="0" collapsed="false">
      <c r="A124" s="12" t="n">
        <v>120</v>
      </c>
      <c r="B124" s="13" t="s">
        <v>313</v>
      </c>
      <c r="C124" s="13" t="s">
        <v>327</v>
      </c>
      <c r="D124" s="12" t="s">
        <v>98</v>
      </c>
      <c r="E124" s="12"/>
      <c r="F124" s="12" t="s">
        <v>133</v>
      </c>
      <c r="G124" s="12" t="s">
        <v>134</v>
      </c>
      <c r="H124" s="12" t="s">
        <v>327</v>
      </c>
      <c r="I124" s="12" t="s">
        <v>135</v>
      </c>
      <c r="J124" s="12" t="s">
        <v>327</v>
      </c>
      <c r="K124" s="12" t="s">
        <v>117</v>
      </c>
      <c r="L124" s="12" t="s">
        <v>51</v>
      </c>
      <c r="M124" s="12" t="s">
        <v>315</v>
      </c>
      <c r="N124" s="12"/>
    </row>
    <row r="125" customFormat="false" ht="23.85" hidden="false" customHeight="false" outlineLevel="0" collapsed="false">
      <c r="A125" s="12" t="n">
        <v>121</v>
      </c>
      <c r="B125" s="13" t="s">
        <v>313</v>
      </c>
      <c r="C125" s="13" t="s">
        <v>328</v>
      </c>
      <c r="D125" s="12" t="s">
        <v>168</v>
      </c>
      <c r="E125" s="12"/>
      <c r="F125" s="12" t="s">
        <v>133</v>
      </c>
      <c r="G125" s="12" t="s">
        <v>134</v>
      </c>
      <c r="H125" s="12" t="s">
        <v>328</v>
      </c>
      <c r="I125" s="12" t="s">
        <v>135</v>
      </c>
      <c r="J125" s="12" t="s">
        <v>328</v>
      </c>
      <c r="K125" s="12" t="s">
        <v>117</v>
      </c>
      <c r="L125" s="12" t="s">
        <v>51</v>
      </c>
      <c r="M125" s="12" t="s">
        <v>315</v>
      </c>
      <c r="N125" s="12"/>
    </row>
    <row r="126" customFormat="false" ht="23.85" hidden="false" customHeight="false" outlineLevel="0" collapsed="false">
      <c r="A126" s="14" t="n">
        <v>122</v>
      </c>
      <c r="B126" s="15" t="s">
        <v>329</v>
      </c>
      <c r="C126" s="15" t="s">
        <v>330</v>
      </c>
      <c r="D126" s="14" t="s">
        <v>78</v>
      </c>
      <c r="E126" s="14" t="s">
        <v>20</v>
      </c>
      <c r="F126" s="14" t="s">
        <v>186</v>
      </c>
      <c r="G126" s="14" t="s">
        <v>187</v>
      </c>
      <c r="H126" s="14" t="s">
        <v>81</v>
      </c>
      <c r="I126" s="14" t="s">
        <v>188</v>
      </c>
      <c r="J126" s="14"/>
      <c r="K126" s="14" t="s">
        <v>50</v>
      </c>
      <c r="L126" s="14" t="s">
        <v>83</v>
      </c>
      <c r="M126" s="14" t="s">
        <v>331</v>
      </c>
      <c r="N126" s="14"/>
    </row>
    <row r="127" customFormat="false" ht="23.85" hidden="false" customHeight="false" outlineLevel="0" collapsed="false">
      <c r="A127" s="14" t="n">
        <v>123</v>
      </c>
      <c r="B127" s="15" t="s">
        <v>329</v>
      </c>
      <c r="C127" s="15" t="s">
        <v>57</v>
      </c>
      <c r="D127" s="14" t="s">
        <v>58</v>
      </c>
      <c r="E127" s="14" t="s">
        <v>200</v>
      </c>
      <c r="F127" s="14" t="s">
        <v>186</v>
      </c>
      <c r="G127" s="14" t="s">
        <v>187</v>
      </c>
      <c r="H127" s="14" t="s">
        <v>332</v>
      </c>
      <c r="I127" s="14" t="s">
        <v>188</v>
      </c>
      <c r="J127" s="14" t="s">
        <v>332</v>
      </c>
      <c r="K127" s="14" t="s">
        <v>117</v>
      </c>
      <c r="L127" s="14" t="s">
        <v>203</v>
      </c>
      <c r="M127" s="14" t="s">
        <v>331</v>
      </c>
      <c r="N127" s="14" t="s">
        <v>332</v>
      </c>
    </row>
    <row r="128" customFormat="false" ht="35.05" hidden="false" customHeight="false" outlineLevel="0" collapsed="false">
      <c r="A128" s="14" t="n">
        <v>124</v>
      </c>
      <c r="B128" s="15" t="s">
        <v>329</v>
      </c>
      <c r="C128" s="15" t="s">
        <v>185</v>
      </c>
      <c r="D128" s="14" t="s">
        <v>58</v>
      </c>
      <c r="E128" s="14" t="s">
        <v>333</v>
      </c>
      <c r="F128" s="14" t="s">
        <v>186</v>
      </c>
      <c r="G128" s="14" t="s">
        <v>187</v>
      </c>
      <c r="H128" s="14" t="s">
        <v>176</v>
      </c>
      <c r="I128" s="14" t="s">
        <v>188</v>
      </c>
      <c r="J128" s="14" t="s">
        <v>176</v>
      </c>
      <c r="K128" s="14" t="s">
        <v>117</v>
      </c>
      <c r="L128" s="14" t="s">
        <v>334</v>
      </c>
      <c r="M128" s="14" t="s">
        <v>331</v>
      </c>
      <c r="N128" s="14"/>
    </row>
    <row r="129" customFormat="false" ht="23.85" hidden="false" customHeight="false" outlineLevel="0" collapsed="false">
      <c r="A129" s="14" t="n">
        <v>125</v>
      </c>
      <c r="B129" s="15" t="s">
        <v>329</v>
      </c>
      <c r="C129" s="15" t="s">
        <v>335</v>
      </c>
      <c r="D129" s="14" t="s">
        <v>58</v>
      </c>
      <c r="E129" s="14"/>
      <c r="F129" s="14" t="s">
        <v>186</v>
      </c>
      <c r="G129" s="14" t="s">
        <v>187</v>
      </c>
      <c r="H129" s="14" t="s">
        <v>335</v>
      </c>
      <c r="I129" s="14" t="s">
        <v>188</v>
      </c>
      <c r="J129" s="14" t="s">
        <v>335</v>
      </c>
      <c r="K129" s="14" t="s">
        <v>117</v>
      </c>
      <c r="L129" s="14" t="s">
        <v>51</v>
      </c>
      <c r="M129" s="14" t="s">
        <v>331</v>
      </c>
      <c r="N129" s="14"/>
    </row>
    <row r="130" customFormat="false" ht="23.85" hidden="false" customHeight="false" outlineLevel="0" collapsed="false">
      <c r="A130" s="14" t="n">
        <v>126</v>
      </c>
      <c r="B130" s="15" t="s">
        <v>329</v>
      </c>
      <c r="C130" s="15" t="s">
        <v>336</v>
      </c>
      <c r="D130" s="14" t="s">
        <v>58</v>
      </c>
      <c r="E130" s="14"/>
      <c r="F130" s="14" t="s">
        <v>186</v>
      </c>
      <c r="G130" s="14" t="s">
        <v>187</v>
      </c>
      <c r="H130" s="14" t="s">
        <v>336</v>
      </c>
      <c r="I130" s="14" t="s">
        <v>188</v>
      </c>
      <c r="J130" s="14" t="s">
        <v>336</v>
      </c>
      <c r="K130" s="14" t="s">
        <v>117</v>
      </c>
      <c r="L130" s="14" t="s">
        <v>51</v>
      </c>
      <c r="M130" s="14" t="s">
        <v>331</v>
      </c>
      <c r="N130" s="14"/>
    </row>
    <row r="131" customFormat="false" ht="23.85" hidden="false" customHeight="false" outlineLevel="0" collapsed="false">
      <c r="A131" s="14" t="n">
        <v>127</v>
      </c>
      <c r="B131" s="15" t="s">
        <v>329</v>
      </c>
      <c r="C131" s="15" t="s">
        <v>337</v>
      </c>
      <c r="D131" s="14" t="s">
        <v>46</v>
      </c>
      <c r="E131" s="14"/>
      <c r="F131" s="14" t="s">
        <v>186</v>
      </c>
      <c r="G131" s="14" t="s">
        <v>187</v>
      </c>
      <c r="H131" s="14" t="s">
        <v>337</v>
      </c>
      <c r="I131" s="14" t="s">
        <v>188</v>
      </c>
      <c r="J131" s="14" t="s">
        <v>337</v>
      </c>
      <c r="K131" s="14" t="s">
        <v>117</v>
      </c>
      <c r="L131" s="14" t="s">
        <v>51</v>
      </c>
      <c r="M131" s="14" t="s">
        <v>331</v>
      </c>
      <c r="N131" s="14"/>
    </row>
    <row r="132" customFormat="false" ht="23.85" hidden="false" customHeight="false" outlineLevel="0" collapsed="false">
      <c r="A132" s="14" t="n">
        <v>128</v>
      </c>
      <c r="B132" s="15" t="s">
        <v>329</v>
      </c>
      <c r="C132" s="15" t="s">
        <v>338</v>
      </c>
      <c r="D132" s="14" t="s">
        <v>122</v>
      </c>
      <c r="E132" s="14"/>
      <c r="F132" s="14" t="s">
        <v>186</v>
      </c>
      <c r="G132" s="14" t="s">
        <v>187</v>
      </c>
      <c r="H132" s="14" t="s">
        <v>338</v>
      </c>
      <c r="I132" s="14" t="s">
        <v>188</v>
      </c>
      <c r="J132" s="14" t="s">
        <v>338</v>
      </c>
      <c r="K132" s="14" t="s">
        <v>117</v>
      </c>
      <c r="L132" s="14" t="s">
        <v>51</v>
      </c>
      <c r="M132" s="14" t="s">
        <v>331</v>
      </c>
      <c r="N132" s="14"/>
    </row>
    <row r="133" customFormat="false" ht="23.85" hidden="false" customHeight="false" outlineLevel="0" collapsed="false">
      <c r="A133" s="14" t="n">
        <v>129</v>
      </c>
      <c r="B133" s="15" t="s">
        <v>329</v>
      </c>
      <c r="C133" s="15" t="s">
        <v>339</v>
      </c>
      <c r="D133" s="14" t="s">
        <v>122</v>
      </c>
      <c r="E133" s="14"/>
      <c r="F133" s="14" t="s">
        <v>186</v>
      </c>
      <c r="G133" s="14" t="s">
        <v>187</v>
      </c>
      <c r="H133" s="14" t="s">
        <v>339</v>
      </c>
      <c r="I133" s="14" t="s">
        <v>188</v>
      </c>
      <c r="J133" s="14" t="s">
        <v>339</v>
      </c>
      <c r="K133" s="14" t="s">
        <v>117</v>
      </c>
      <c r="L133" s="14" t="s">
        <v>51</v>
      </c>
      <c r="M133" s="14" t="s">
        <v>331</v>
      </c>
      <c r="N133" s="14"/>
    </row>
    <row r="134" customFormat="false" ht="23.85" hidden="false" customHeight="false" outlineLevel="0" collapsed="false">
      <c r="A134" s="14" t="n">
        <v>130</v>
      </c>
      <c r="B134" s="15" t="s">
        <v>329</v>
      </c>
      <c r="C134" s="15" t="s">
        <v>340</v>
      </c>
      <c r="D134" s="14" t="s">
        <v>122</v>
      </c>
      <c r="E134" s="14"/>
      <c r="F134" s="14" t="s">
        <v>186</v>
      </c>
      <c r="G134" s="14" t="s">
        <v>187</v>
      </c>
      <c r="H134" s="14" t="s">
        <v>340</v>
      </c>
      <c r="I134" s="14" t="s">
        <v>188</v>
      </c>
      <c r="J134" s="14" t="s">
        <v>340</v>
      </c>
      <c r="K134" s="14" t="s">
        <v>117</v>
      </c>
      <c r="L134" s="14" t="s">
        <v>51</v>
      </c>
      <c r="M134" s="14" t="s">
        <v>331</v>
      </c>
      <c r="N134" s="14"/>
    </row>
    <row r="135" customFormat="false" ht="23.85" hidden="false" customHeight="false" outlineLevel="0" collapsed="false">
      <c r="A135" s="14" t="n">
        <v>131</v>
      </c>
      <c r="B135" s="15" t="s">
        <v>329</v>
      </c>
      <c r="C135" s="15" t="s">
        <v>341</v>
      </c>
      <c r="D135" s="14" t="s">
        <v>98</v>
      </c>
      <c r="E135" s="14"/>
      <c r="F135" s="14" t="s">
        <v>186</v>
      </c>
      <c r="G135" s="14" t="s">
        <v>187</v>
      </c>
      <c r="H135" s="14" t="s">
        <v>341</v>
      </c>
      <c r="I135" s="14" t="s">
        <v>188</v>
      </c>
      <c r="J135" s="14" t="s">
        <v>341</v>
      </c>
      <c r="K135" s="14" t="s">
        <v>117</v>
      </c>
      <c r="L135" s="14" t="s">
        <v>51</v>
      </c>
      <c r="M135" s="14" t="s">
        <v>331</v>
      </c>
      <c r="N135" s="14"/>
    </row>
    <row r="136" customFormat="false" ht="23.85" hidden="false" customHeight="false" outlineLevel="0" collapsed="false">
      <c r="A136" s="14" t="n">
        <v>132</v>
      </c>
      <c r="B136" s="15" t="s">
        <v>329</v>
      </c>
      <c r="C136" s="15" t="s">
        <v>342</v>
      </c>
      <c r="D136" s="14" t="s">
        <v>343</v>
      </c>
      <c r="E136" s="14"/>
      <c r="F136" s="14" t="s">
        <v>186</v>
      </c>
      <c r="G136" s="14" t="s">
        <v>187</v>
      </c>
      <c r="H136" s="14" t="s">
        <v>342</v>
      </c>
      <c r="I136" s="14" t="s">
        <v>188</v>
      </c>
      <c r="J136" s="14" t="s">
        <v>342</v>
      </c>
      <c r="K136" s="14" t="s">
        <v>117</v>
      </c>
      <c r="L136" s="14" t="s">
        <v>51</v>
      </c>
      <c r="M136" s="14" t="s">
        <v>331</v>
      </c>
      <c r="N136" s="14"/>
    </row>
    <row r="137" customFormat="false" ht="23.85" hidden="false" customHeight="false" outlineLevel="0" collapsed="false">
      <c r="A137" s="14" t="n">
        <v>133</v>
      </c>
      <c r="B137" s="15" t="s">
        <v>329</v>
      </c>
      <c r="C137" s="15" t="s">
        <v>344</v>
      </c>
      <c r="D137" s="14" t="s">
        <v>46</v>
      </c>
      <c r="E137" s="14"/>
      <c r="F137" s="14" t="s">
        <v>186</v>
      </c>
      <c r="G137" s="14" t="s">
        <v>187</v>
      </c>
      <c r="H137" s="14" t="s">
        <v>344</v>
      </c>
      <c r="I137" s="14" t="s">
        <v>188</v>
      </c>
      <c r="J137" s="14" t="s">
        <v>344</v>
      </c>
      <c r="K137" s="14" t="s">
        <v>117</v>
      </c>
      <c r="L137" s="14" t="s">
        <v>51</v>
      </c>
      <c r="M137" s="14" t="s">
        <v>331</v>
      </c>
      <c r="N137" s="14"/>
    </row>
    <row r="138" customFormat="false" ht="23.85" hidden="false" customHeight="false" outlineLevel="0" collapsed="false">
      <c r="A138" s="14" t="n">
        <v>134</v>
      </c>
      <c r="B138" s="15" t="s">
        <v>329</v>
      </c>
      <c r="C138" s="15" t="s">
        <v>345</v>
      </c>
      <c r="D138" s="14" t="s">
        <v>105</v>
      </c>
      <c r="E138" s="14"/>
      <c r="F138" s="14" t="s">
        <v>186</v>
      </c>
      <c r="G138" s="14" t="s">
        <v>187</v>
      </c>
      <c r="H138" s="14" t="s">
        <v>345</v>
      </c>
      <c r="I138" s="14" t="s">
        <v>188</v>
      </c>
      <c r="J138" s="14" t="s">
        <v>345</v>
      </c>
      <c r="K138" s="14" t="s">
        <v>117</v>
      </c>
      <c r="L138" s="14" t="s">
        <v>51</v>
      </c>
      <c r="M138" s="14" t="s">
        <v>331</v>
      </c>
      <c r="N138" s="14"/>
    </row>
    <row r="139" customFormat="false" ht="23.85" hidden="false" customHeight="false" outlineLevel="0" collapsed="false">
      <c r="A139" s="14" t="n">
        <v>135</v>
      </c>
      <c r="B139" s="15" t="s">
        <v>329</v>
      </c>
      <c r="C139" s="15" t="s">
        <v>346</v>
      </c>
      <c r="D139" s="14" t="s">
        <v>46</v>
      </c>
      <c r="E139" s="14"/>
      <c r="F139" s="14" t="s">
        <v>186</v>
      </c>
      <c r="G139" s="14" t="s">
        <v>187</v>
      </c>
      <c r="H139" s="14" t="s">
        <v>346</v>
      </c>
      <c r="I139" s="14" t="s">
        <v>188</v>
      </c>
      <c r="J139" s="14" t="s">
        <v>346</v>
      </c>
      <c r="K139" s="14" t="s">
        <v>117</v>
      </c>
      <c r="L139" s="14" t="s">
        <v>51</v>
      </c>
      <c r="M139" s="14" t="s">
        <v>331</v>
      </c>
      <c r="N139" s="14"/>
    </row>
    <row r="140" customFormat="false" ht="23.85" hidden="false" customHeight="false" outlineLevel="0" collapsed="false">
      <c r="A140" s="14" t="n">
        <v>136</v>
      </c>
      <c r="B140" s="15" t="s">
        <v>329</v>
      </c>
      <c r="C140" s="15" t="s">
        <v>347</v>
      </c>
      <c r="D140" s="14" t="s">
        <v>343</v>
      </c>
      <c r="E140" s="14"/>
      <c r="F140" s="14" t="s">
        <v>186</v>
      </c>
      <c r="G140" s="14" t="s">
        <v>187</v>
      </c>
      <c r="H140" s="14" t="s">
        <v>347</v>
      </c>
      <c r="I140" s="14" t="s">
        <v>188</v>
      </c>
      <c r="J140" s="14" t="s">
        <v>347</v>
      </c>
      <c r="K140" s="14" t="s">
        <v>117</v>
      </c>
      <c r="L140" s="14" t="s">
        <v>51</v>
      </c>
      <c r="M140" s="14" t="s">
        <v>331</v>
      </c>
      <c r="N140" s="14"/>
    </row>
    <row r="141" customFormat="false" ht="23.85" hidden="false" customHeight="false" outlineLevel="0" collapsed="false">
      <c r="A141" s="14" t="n">
        <v>137</v>
      </c>
      <c r="B141" s="15" t="s">
        <v>329</v>
      </c>
      <c r="C141" s="15" t="s">
        <v>348</v>
      </c>
      <c r="D141" s="14" t="s">
        <v>122</v>
      </c>
      <c r="E141" s="14"/>
      <c r="F141" s="14" t="s">
        <v>186</v>
      </c>
      <c r="G141" s="14" t="s">
        <v>187</v>
      </c>
      <c r="H141" s="14" t="s">
        <v>348</v>
      </c>
      <c r="I141" s="14" t="s">
        <v>188</v>
      </c>
      <c r="J141" s="14" t="s">
        <v>348</v>
      </c>
      <c r="K141" s="14" t="s">
        <v>117</v>
      </c>
      <c r="L141" s="14" t="s">
        <v>51</v>
      </c>
      <c r="M141" s="14" t="s">
        <v>331</v>
      </c>
      <c r="N141" s="14"/>
    </row>
    <row r="142" customFormat="false" ht="23.85" hidden="false" customHeight="false" outlineLevel="0" collapsed="false">
      <c r="A142" s="14" t="n">
        <v>138</v>
      </c>
      <c r="B142" s="15" t="s">
        <v>329</v>
      </c>
      <c r="C142" s="15" t="s">
        <v>349</v>
      </c>
      <c r="D142" s="14" t="s">
        <v>105</v>
      </c>
      <c r="E142" s="14"/>
      <c r="F142" s="14" t="s">
        <v>186</v>
      </c>
      <c r="G142" s="14" t="s">
        <v>187</v>
      </c>
      <c r="H142" s="14" t="s">
        <v>349</v>
      </c>
      <c r="I142" s="14" t="s">
        <v>188</v>
      </c>
      <c r="J142" s="14" t="s">
        <v>349</v>
      </c>
      <c r="K142" s="14" t="s">
        <v>117</v>
      </c>
      <c r="L142" s="14" t="s">
        <v>51</v>
      </c>
      <c r="M142" s="14" t="s">
        <v>331</v>
      </c>
      <c r="N142" s="14"/>
    </row>
    <row r="143" customFormat="false" ht="23.85" hidden="false" customHeight="false" outlineLevel="0" collapsed="false">
      <c r="A143" s="12" t="n">
        <v>139</v>
      </c>
      <c r="B143" s="13" t="s">
        <v>350</v>
      </c>
      <c r="C143" s="13" t="s">
        <v>171</v>
      </c>
      <c r="D143" s="12" t="s">
        <v>58</v>
      </c>
      <c r="E143" s="12" t="s">
        <v>351</v>
      </c>
      <c r="F143" s="12" t="s">
        <v>172</v>
      </c>
      <c r="G143" s="12" t="s">
        <v>173</v>
      </c>
      <c r="H143" s="12" t="s">
        <v>177</v>
      </c>
      <c r="I143" s="12" t="s">
        <v>174</v>
      </c>
      <c r="J143" s="12" t="s">
        <v>176</v>
      </c>
      <c r="K143" s="12" t="s">
        <v>89</v>
      </c>
      <c r="L143" s="12" t="s">
        <v>352</v>
      </c>
      <c r="M143" s="12" t="s">
        <v>353</v>
      </c>
      <c r="N143" s="12"/>
    </row>
    <row r="144" customFormat="false" ht="23.85" hidden="false" customHeight="false" outlineLevel="0" collapsed="false">
      <c r="A144" s="12" t="n">
        <v>140</v>
      </c>
      <c r="B144" s="13" t="s">
        <v>350</v>
      </c>
      <c r="C144" s="13" t="s">
        <v>45</v>
      </c>
      <c r="D144" s="12" t="s">
        <v>46</v>
      </c>
      <c r="E144" s="12" t="s">
        <v>354</v>
      </c>
      <c r="F144" s="12" t="s">
        <v>172</v>
      </c>
      <c r="G144" s="12" t="s">
        <v>173</v>
      </c>
      <c r="H144" s="12" t="s">
        <v>81</v>
      </c>
      <c r="I144" s="12" t="s">
        <v>174</v>
      </c>
      <c r="J144" s="12"/>
      <c r="K144" s="12" t="s">
        <v>50</v>
      </c>
      <c r="L144" s="12" t="s">
        <v>355</v>
      </c>
      <c r="M144" s="12" t="s">
        <v>353</v>
      </c>
      <c r="N144" s="12"/>
    </row>
    <row r="145" customFormat="false" ht="23.85" hidden="false" customHeight="false" outlineLevel="0" collapsed="false">
      <c r="A145" s="12" t="n">
        <v>141</v>
      </c>
      <c r="B145" s="13" t="s">
        <v>350</v>
      </c>
      <c r="C145" s="13" t="s">
        <v>356</v>
      </c>
      <c r="D145" s="12" t="s">
        <v>58</v>
      </c>
      <c r="E145" s="12"/>
      <c r="F145" s="12" t="s">
        <v>172</v>
      </c>
      <c r="G145" s="12" t="s">
        <v>173</v>
      </c>
      <c r="H145" s="12" t="s">
        <v>357</v>
      </c>
      <c r="I145" s="12" t="s">
        <v>174</v>
      </c>
      <c r="J145" s="12" t="s">
        <v>358</v>
      </c>
      <c r="K145" s="12" t="s">
        <v>359</v>
      </c>
      <c r="L145" s="12" t="s">
        <v>360</v>
      </c>
      <c r="M145" s="12" t="s">
        <v>353</v>
      </c>
      <c r="N145" s="12"/>
    </row>
  </sheetData>
  <autoFilter ref="A4:N1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1"/>
    <col collapsed="false" customWidth="true" hidden="false" outlineLevel="0" max="4" min="4" style="0" width="36"/>
    <col collapsed="false" customWidth="true" hidden="false" outlineLevel="0" max="5" min="5" style="0" width="28"/>
    <col collapsed="false" customWidth="true" hidden="false" outlineLevel="0" max="6" min="6" style="0" width="32"/>
    <col collapsed="false" customWidth="true" hidden="false" outlineLevel="0" max="7" min="7" style="0" width="52"/>
    <col collapsed="false" customWidth="true" hidden="false" outlineLevel="0" max="9" min="8" style="0" width="34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56"/>
  </cols>
  <sheetData>
    <row r="1" customFormat="false" ht="17.35" hidden="false" customHeight="false" outlineLevel="0" collapsed="false">
      <c r="A1" s="9" t="s">
        <v>361</v>
      </c>
    </row>
    <row r="2" customFormat="false" ht="15" hidden="false" customHeight="false" outlineLevel="0" collapsed="false">
      <c r="A2" s="10" t="s">
        <v>362</v>
      </c>
    </row>
    <row r="4" customFormat="false" ht="31.5" hidden="false" customHeight="true" outlineLevel="0" collapsed="false">
      <c r="A4" s="11" t="s">
        <v>363</v>
      </c>
      <c r="B4" s="11" t="s">
        <v>31</v>
      </c>
      <c r="C4" s="11" t="s">
        <v>364</v>
      </c>
      <c r="D4" s="11" t="s">
        <v>365</v>
      </c>
      <c r="E4" s="11" t="s">
        <v>35</v>
      </c>
      <c r="F4" s="11" t="s">
        <v>36</v>
      </c>
      <c r="G4" s="11" t="s">
        <v>38</v>
      </c>
      <c r="H4" s="11" t="s">
        <v>42</v>
      </c>
      <c r="I4" s="11" t="s">
        <v>366</v>
      </c>
      <c r="J4" s="11" t="s">
        <v>367</v>
      </c>
      <c r="K4" s="11" t="s">
        <v>368</v>
      </c>
      <c r="L4" s="11" t="s">
        <v>369</v>
      </c>
    </row>
    <row r="5" customFormat="false" ht="23.85" hidden="false" customHeight="false" outlineLevel="0" collapsed="false">
      <c r="A5" s="12" t="n">
        <v>1</v>
      </c>
      <c r="B5" s="13" t="s">
        <v>44</v>
      </c>
      <c r="C5" s="12" t="s">
        <v>370</v>
      </c>
      <c r="D5" s="12" t="s">
        <v>371</v>
      </c>
      <c r="E5" s="12" t="s">
        <v>47</v>
      </c>
      <c r="F5" s="12" t="s">
        <v>48</v>
      </c>
      <c r="G5" s="12" t="s">
        <v>49</v>
      </c>
      <c r="H5" s="12" t="s">
        <v>52</v>
      </c>
      <c r="I5" s="12" t="s">
        <v>372</v>
      </c>
      <c r="J5" s="16" t="n">
        <v>12</v>
      </c>
      <c r="K5" s="16" t="n">
        <f aca="false">COUNTIF('Column mapping'!$B$5:$B$145,B5)</f>
        <v>2</v>
      </c>
      <c r="L5" s="12" t="s">
        <v>373</v>
      </c>
    </row>
    <row r="6" customFormat="false" ht="23.85" hidden="false" customHeight="false" outlineLevel="0" collapsed="false">
      <c r="A6" s="14" t="n">
        <v>2</v>
      </c>
      <c r="B6" s="15" t="s">
        <v>56</v>
      </c>
      <c r="C6" s="14" t="s">
        <v>370</v>
      </c>
      <c r="D6" s="14" t="s">
        <v>374</v>
      </c>
      <c r="E6" s="14" t="s">
        <v>59</v>
      </c>
      <c r="F6" s="14" t="s">
        <v>48</v>
      </c>
      <c r="G6" s="14" t="s">
        <v>60</v>
      </c>
      <c r="H6" s="14" t="s">
        <v>61</v>
      </c>
      <c r="I6" s="14" t="s">
        <v>372</v>
      </c>
      <c r="J6" s="17" t="n">
        <v>6209</v>
      </c>
      <c r="K6" s="17" t="n">
        <f aca="false">COUNTIF('Column mapping'!$B$5:$B$145,B6)</f>
        <v>11</v>
      </c>
      <c r="L6" s="14" t="s">
        <v>373</v>
      </c>
    </row>
    <row r="7" customFormat="false" ht="15" hidden="false" customHeight="false" outlineLevel="0" collapsed="false">
      <c r="A7" s="12" t="n">
        <v>3</v>
      </c>
      <c r="B7" s="13" t="s">
        <v>76</v>
      </c>
      <c r="C7" s="12" t="s">
        <v>370</v>
      </c>
      <c r="D7" s="12" t="s">
        <v>375</v>
      </c>
      <c r="E7" s="12" t="s">
        <v>79</v>
      </c>
      <c r="F7" s="12" t="s">
        <v>80</v>
      </c>
      <c r="G7" s="12" t="s">
        <v>82</v>
      </c>
      <c r="H7" s="12" t="s">
        <v>84</v>
      </c>
      <c r="I7" s="12" t="s">
        <v>372</v>
      </c>
      <c r="J7" s="16" t="n">
        <v>35</v>
      </c>
      <c r="K7" s="16" t="n">
        <f aca="false">COUNTIF('Column mapping'!$B$5:$B$145,B7)</f>
        <v>10</v>
      </c>
      <c r="L7" s="12" t="s">
        <v>376</v>
      </c>
    </row>
    <row r="8" customFormat="false" ht="15" hidden="false" customHeight="false" outlineLevel="0" collapsed="false">
      <c r="A8" s="14" t="n">
        <v>4</v>
      </c>
      <c r="B8" s="15" t="s">
        <v>109</v>
      </c>
      <c r="C8" s="14" t="s">
        <v>370</v>
      </c>
      <c r="D8" s="14" t="s">
        <v>377</v>
      </c>
      <c r="E8" s="14" t="s">
        <v>111</v>
      </c>
      <c r="F8" s="14" t="s">
        <v>112</v>
      </c>
      <c r="G8" s="14" t="s">
        <v>113</v>
      </c>
      <c r="H8" s="14" t="s">
        <v>114</v>
      </c>
      <c r="I8" s="14" t="s">
        <v>372</v>
      </c>
      <c r="J8" s="17" t="n">
        <v>1245</v>
      </c>
      <c r="K8" s="17" t="n">
        <f aca="false">COUNTIF('Column mapping'!$B$5:$B$145,B8)</f>
        <v>12</v>
      </c>
      <c r="L8" s="14" t="s">
        <v>376</v>
      </c>
    </row>
    <row r="9" customFormat="false" ht="15" hidden="false" customHeight="false" outlineLevel="0" collapsed="false">
      <c r="A9" s="12" t="n">
        <v>5</v>
      </c>
      <c r="B9" s="13" t="s">
        <v>131</v>
      </c>
      <c r="C9" s="12" t="s">
        <v>370</v>
      </c>
      <c r="D9" s="12" t="s">
        <v>378</v>
      </c>
      <c r="E9" s="12" t="s">
        <v>133</v>
      </c>
      <c r="F9" s="12" t="s">
        <v>134</v>
      </c>
      <c r="G9" s="12" t="s">
        <v>135</v>
      </c>
      <c r="H9" s="12" t="s">
        <v>136</v>
      </c>
      <c r="I9" s="12" t="s">
        <v>372</v>
      </c>
      <c r="J9" s="16" t="n">
        <v>10</v>
      </c>
      <c r="K9" s="16" t="n">
        <f aca="false">COUNTIF('Column mapping'!$B$5:$B$145,B9)</f>
        <v>2</v>
      </c>
      <c r="L9" s="12" t="s">
        <v>376</v>
      </c>
    </row>
    <row r="10" customFormat="false" ht="23.85" hidden="false" customHeight="false" outlineLevel="0" collapsed="false">
      <c r="A10" s="14" t="n">
        <v>6</v>
      </c>
      <c r="B10" s="15" t="s">
        <v>139</v>
      </c>
      <c r="C10" s="14" t="s">
        <v>370</v>
      </c>
      <c r="D10" s="14" t="s">
        <v>379</v>
      </c>
      <c r="E10" s="14" t="s">
        <v>141</v>
      </c>
      <c r="F10" s="14" t="s">
        <v>142</v>
      </c>
      <c r="G10" s="14" t="s">
        <v>143</v>
      </c>
      <c r="H10" s="14" t="s">
        <v>144</v>
      </c>
      <c r="I10" s="14" t="s">
        <v>372</v>
      </c>
      <c r="J10" s="17" t="n">
        <v>1500</v>
      </c>
      <c r="K10" s="17" t="n">
        <f aca="false">COUNTIF('Column mapping'!$B$5:$B$145,B10)</f>
        <v>12</v>
      </c>
      <c r="L10" s="14" t="s">
        <v>380</v>
      </c>
    </row>
    <row r="11" customFormat="false" ht="15" hidden="false" customHeight="false" outlineLevel="0" collapsed="false">
      <c r="A11" s="12" t="n">
        <v>7</v>
      </c>
      <c r="B11" s="13" t="s">
        <v>170</v>
      </c>
      <c r="C11" s="12" t="s">
        <v>370</v>
      </c>
      <c r="D11" s="12" t="s">
        <v>381</v>
      </c>
      <c r="E11" s="12" t="s">
        <v>172</v>
      </c>
      <c r="F11" s="12" t="s">
        <v>173</v>
      </c>
      <c r="G11" s="12" t="s">
        <v>174</v>
      </c>
      <c r="H11" s="12" t="s">
        <v>175</v>
      </c>
      <c r="I11" s="12" t="s">
        <v>372</v>
      </c>
      <c r="J11" s="16" t="n">
        <v>1000</v>
      </c>
      <c r="K11" s="16" t="n">
        <f aca="false">COUNTIF('Column mapping'!$B$5:$B$145,B11)</f>
        <v>5</v>
      </c>
      <c r="L11" s="12" t="s">
        <v>376</v>
      </c>
    </row>
    <row r="12" customFormat="false" ht="23.85" hidden="false" customHeight="false" outlineLevel="0" collapsed="false">
      <c r="A12" s="14" t="n">
        <v>8</v>
      </c>
      <c r="B12" s="15" t="s">
        <v>184</v>
      </c>
      <c r="C12" s="14" t="s">
        <v>370</v>
      </c>
      <c r="D12" s="14" t="s">
        <v>382</v>
      </c>
      <c r="E12" s="14" t="s">
        <v>186</v>
      </c>
      <c r="F12" s="14" t="s">
        <v>187</v>
      </c>
      <c r="G12" s="14" t="s">
        <v>188</v>
      </c>
      <c r="H12" s="14" t="s">
        <v>189</v>
      </c>
      <c r="I12" s="14" t="s">
        <v>372</v>
      </c>
      <c r="J12" s="17" t="n">
        <v>3204</v>
      </c>
      <c r="K12" s="17" t="n">
        <f aca="false">COUNTIF('Column mapping'!$B$5:$B$145,B12)</f>
        <v>5</v>
      </c>
      <c r="L12" s="14" t="s">
        <v>383</v>
      </c>
    </row>
    <row r="13" customFormat="false" ht="23.85" hidden="false" customHeight="false" outlineLevel="0" collapsed="false">
      <c r="A13" s="12" t="n">
        <v>9</v>
      </c>
      <c r="B13" s="13" t="s">
        <v>192</v>
      </c>
      <c r="C13" s="12" t="s">
        <v>384</v>
      </c>
      <c r="D13" s="12" t="s">
        <v>385</v>
      </c>
      <c r="E13" s="12" t="s">
        <v>194</v>
      </c>
      <c r="F13" s="12" t="s">
        <v>195</v>
      </c>
      <c r="G13" s="12" t="s">
        <v>196</v>
      </c>
      <c r="H13" s="12" t="s">
        <v>197</v>
      </c>
      <c r="I13" s="12" t="s">
        <v>56</v>
      </c>
      <c r="J13" s="16" t="n">
        <v>1000</v>
      </c>
      <c r="K13" s="16" t="n">
        <f aca="false">COUNTIF('Column mapping'!$B$5:$B$145,B13)</f>
        <v>11</v>
      </c>
      <c r="L13" s="12" t="s">
        <v>386</v>
      </c>
    </row>
    <row r="14" customFormat="false" ht="15" hidden="false" customHeight="false" outlineLevel="0" collapsed="false">
      <c r="A14" s="14" t="n">
        <v>10</v>
      </c>
      <c r="B14" s="15" t="s">
        <v>217</v>
      </c>
      <c r="C14" s="14" t="s">
        <v>384</v>
      </c>
      <c r="D14" s="14" t="s">
        <v>387</v>
      </c>
      <c r="E14" s="14" t="s">
        <v>219</v>
      </c>
      <c r="F14" s="14" t="s">
        <v>220</v>
      </c>
      <c r="G14" s="14" t="s">
        <v>221</v>
      </c>
      <c r="H14" s="14" t="s">
        <v>222</v>
      </c>
      <c r="I14" s="14" t="s">
        <v>56</v>
      </c>
      <c r="J14" s="17" t="n">
        <v>1000</v>
      </c>
      <c r="K14" s="17" t="n">
        <f aca="false">COUNTIF('Column mapping'!$B$5:$B$145,B14)</f>
        <v>13</v>
      </c>
      <c r="L14" s="14" t="s">
        <v>376</v>
      </c>
    </row>
    <row r="15" customFormat="false" ht="23.85" hidden="false" customHeight="false" outlineLevel="0" collapsed="false">
      <c r="A15" s="12" t="n">
        <v>11</v>
      </c>
      <c r="B15" s="13" t="s">
        <v>242</v>
      </c>
      <c r="C15" s="12" t="s">
        <v>384</v>
      </c>
      <c r="D15" s="12" t="s">
        <v>388</v>
      </c>
      <c r="E15" s="12" t="s">
        <v>244</v>
      </c>
      <c r="F15" s="12" t="s">
        <v>245</v>
      </c>
      <c r="G15" s="12" t="s">
        <v>246</v>
      </c>
      <c r="H15" s="12" t="s">
        <v>247</v>
      </c>
      <c r="I15" s="12" t="s">
        <v>56</v>
      </c>
      <c r="J15" s="16" t="n">
        <v>1000</v>
      </c>
      <c r="K15" s="16" t="n">
        <f aca="false">COUNTIF('Column mapping'!$B$5:$B$145,B15)</f>
        <v>12</v>
      </c>
      <c r="L15" s="12" t="s">
        <v>389</v>
      </c>
    </row>
    <row r="16" customFormat="false" ht="23.85" hidden="false" customHeight="false" outlineLevel="0" collapsed="false">
      <c r="A16" s="14" t="n">
        <v>12</v>
      </c>
      <c r="B16" s="15" t="s">
        <v>277</v>
      </c>
      <c r="C16" s="14" t="s">
        <v>384</v>
      </c>
      <c r="D16" s="14" t="s">
        <v>390</v>
      </c>
      <c r="E16" s="14" t="s">
        <v>279</v>
      </c>
      <c r="F16" s="14" t="s">
        <v>280</v>
      </c>
      <c r="G16" s="14" t="s">
        <v>281</v>
      </c>
      <c r="H16" s="14" t="s">
        <v>282</v>
      </c>
      <c r="I16" s="14" t="s">
        <v>56</v>
      </c>
      <c r="J16" s="17" t="n">
        <v>45839</v>
      </c>
      <c r="K16" s="17" t="n">
        <f aca="false">COUNTIF('Column mapping'!$B$5:$B$145,B16)</f>
        <v>14</v>
      </c>
      <c r="L16" s="14" t="s">
        <v>391</v>
      </c>
    </row>
    <row r="17" customFormat="false" ht="15" hidden="false" customHeight="false" outlineLevel="0" collapsed="false">
      <c r="A17" s="12" t="n">
        <v>13</v>
      </c>
      <c r="B17" s="13" t="s">
        <v>313</v>
      </c>
      <c r="C17" s="12" t="s">
        <v>384</v>
      </c>
      <c r="D17" s="12" t="s">
        <v>392</v>
      </c>
      <c r="E17" s="12" t="s">
        <v>133</v>
      </c>
      <c r="F17" s="12" t="s">
        <v>134</v>
      </c>
      <c r="G17" s="12" t="s">
        <v>135</v>
      </c>
      <c r="H17" s="12" t="s">
        <v>315</v>
      </c>
      <c r="I17" s="12" t="s">
        <v>393</v>
      </c>
      <c r="J17" s="16" t="n">
        <v>1300</v>
      </c>
      <c r="K17" s="16" t="n">
        <f aca="false">COUNTIF('Column mapping'!$B$5:$B$145,B17)</f>
        <v>12</v>
      </c>
      <c r="L17" s="12" t="s">
        <v>376</v>
      </c>
    </row>
    <row r="18" customFormat="false" ht="23.85" hidden="false" customHeight="false" outlineLevel="0" collapsed="false">
      <c r="A18" s="14" t="n">
        <v>14</v>
      </c>
      <c r="B18" s="15" t="s">
        <v>329</v>
      </c>
      <c r="C18" s="14" t="s">
        <v>384</v>
      </c>
      <c r="D18" s="14" t="s">
        <v>394</v>
      </c>
      <c r="E18" s="14" t="s">
        <v>186</v>
      </c>
      <c r="F18" s="14" t="s">
        <v>187</v>
      </c>
      <c r="G18" s="14" t="s">
        <v>188</v>
      </c>
      <c r="H18" s="14" t="s">
        <v>331</v>
      </c>
      <c r="I18" s="14" t="s">
        <v>395</v>
      </c>
      <c r="J18" s="17" t="n">
        <v>3204</v>
      </c>
      <c r="K18" s="17" t="n">
        <f aca="false">COUNTIF('Column mapping'!$B$5:$B$145,B18)</f>
        <v>17</v>
      </c>
      <c r="L18" s="14" t="s">
        <v>383</v>
      </c>
    </row>
    <row r="19" customFormat="false" ht="15" hidden="false" customHeight="false" outlineLevel="0" collapsed="false">
      <c r="A19" s="12" t="n">
        <v>15</v>
      </c>
      <c r="B19" s="13" t="s">
        <v>350</v>
      </c>
      <c r="C19" s="12" t="s">
        <v>384</v>
      </c>
      <c r="D19" s="12" t="s">
        <v>396</v>
      </c>
      <c r="E19" s="12" t="s">
        <v>172</v>
      </c>
      <c r="F19" s="12" t="s">
        <v>173</v>
      </c>
      <c r="G19" s="12" t="s">
        <v>174</v>
      </c>
      <c r="H19" s="12" t="s">
        <v>353</v>
      </c>
      <c r="I19" s="12" t="s">
        <v>397</v>
      </c>
      <c r="J19" s="16" t="n">
        <v>12000</v>
      </c>
      <c r="K19" s="16" t="n">
        <f aca="false">COUNTIF('Column mapping'!$B$5:$B$145,B19)</f>
        <v>3</v>
      </c>
      <c r="L19" s="12" t="s">
        <v>376</v>
      </c>
    </row>
    <row r="20" customFormat="false" ht="15" hidden="false" customHeight="false" outlineLevel="0" collapsed="false">
      <c r="B20" s="8" t="s">
        <v>398</v>
      </c>
      <c r="J20" s="18" t="n">
        <f aca="false">SUM(J5:J19)</f>
        <v>78558</v>
      </c>
      <c r="K20" s="18" t="n">
        <f aca="false">SUM(K5:K19)</f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9" t="s">
        <v>399</v>
      </c>
    </row>
    <row r="2" customFormat="false" ht="15" hidden="false" customHeight="false" outlineLevel="0" collapsed="false">
      <c r="A2" s="10" t="s">
        <v>400</v>
      </c>
    </row>
    <row r="4" customFormat="false" ht="15" hidden="false" customHeight="false" outlineLevel="0" collapsed="false">
      <c r="A4" s="19" t="s">
        <v>30</v>
      </c>
      <c r="B4" s="19" t="s">
        <v>401</v>
      </c>
      <c r="C4" s="19" t="s">
        <v>402</v>
      </c>
      <c r="D4" s="19" t="s">
        <v>403</v>
      </c>
      <c r="E4" s="19" t="s">
        <v>404</v>
      </c>
      <c r="F4" s="19" t="s">
        <v>405</v>
      </c>
    </row>
    <row r="5" customFormat="false" ht="15" hidden="false" customHeight="false" outlineLevel="0" collapsed="false">
      <c r="A5" s="20" t="n">
        <v>1</v>
      </c>
      <c r="B5" s="20" t="s">
        <v>192</v>
      </c>
      <c r="C5" s="20" t="s">
        <v>57</v>
      </c>
      <c r="D5" s="20" t="s">
        <v>56</v>
      </c>
      <c r="E5" s="20" t="s">
        <v>57</v>
      </c>
      <c r="F5" s="20" t="s">
        <v>406</v>
      </c>
    </row>
    <row r="6" customFormat="false" ht="15" hidden="false" customHeight="false" outlineLevel="0" collapsed="false">
      <c r="A6" s="21" t="n">
        <v>2</v>
      </c>
      <c r="B6" s="21" t="s">
        <v>217</v>
      </c>
      <c r="C6" s="21" t="s">
        <v>57</v>
      </c>
      <c r="D6" s="21" t="s">
        <v>56</v>
      </c>
      <c r="E6" s="21" t="s">
        <v>57</v>
      </c>
      <c r="F6" s="21" t="s">
        <v>406</v>
      </c>
    </row>
    <row r="7" customFormat="false" ht="15" hidden="false" customHeight="false" outlineLevel="0" collapsed="false">
      <c r="A7" s="20" t="n">
        <v>3</v>
      </c>
      <c r="B7" s="20" t="s">
        <v>242</v>
      </c>
      <c r="C7" s="20" t="s">
        <v>250</v>
      </c>
      <c r="D7" s="20" t="s">
        <v>56</v>
      </c>
      <c r="E7" s="20" t="s">
        <v>57</v>
      </c>
      <c r="F7" s="20" t="s">
        <v>406</v>
      </c>
    </row>
    <row r="8" customFormat="false" ht="15" hidden="false" customHeight="false" outlineLevel="0" collapsed="false">
      <c r="A8" s="21" t="n">
        <v>4</v>
      </c>
      <c r="B8" s="21" t="s">
        <v>242</v>
      </c>
      <c r="C8" s="21" t="s">
        <v>253</v>
      </c>
      <c r="D8" s="21" t="s">
        <v>56</v>
      </c>
      <c r="E8" s="21" t="s">
        <v>57</v>
      </c>
      <c r="F8" s="21" t="s">
        <v>407</v>
      </c>
    </row>
    <row r="9" customFormat="false" ht="15" hidden="false" customHeight="false" outlineLevel="0" collapsed="false">
      <c r="A9" s="20" t="n">
        <v>5</v>
      </c>
      <c r="B9" s="20" t="s">
        <v>277</v>
      </c>
      <c r="C9" s="20" t="s">
        <v>285</v>
      </c>
      <c r="D9" s="20" t="s">
        <v>56</v>
      </c>
      <c r="E9" s="20" t="s">
        <v>57</v>
      </c>
      <c r="F9" s="20" t="s">
        <v>406</v>
      </c>
    </row>
    <row r="10" customFormat="false" ht="15" hidden="false" customHeight="false" outlineLevel="0" collapsed="false">
      <c r="A10" s="21" t="n">
        <v>6</v>
      </c>
      <c r="B10" s="21" t="s">
        <v>277</v>
      </c>
      <c r="C10" s="21" t="s">
        <v>288</v>
      </c>
      <c r="D10" s="21" t="s">
        <v>56</v>
      </c>
      <c r="E10" s="21" t="s">
        <v>57</v>
      </c>
      <c r="F10" s="21" t="s">
        <v>407</v>
      </c>
    </row>
    <row r="11" customFormat="false" ht="15" hidden="false" customHeight="false" outlineLevel="0" collapsed="false">
      <c r="A11" s="20" t="n">
        <v>7</v>
      </c>
      <c r="B11" s="20" t="s">
        <v>277</v>
      </c>
      <c r="C11" s="20" t="s">
        <v>291</v>
      </c>
      <c r="D11" s="20" t="s">
        <v>56</v>
      </c>
      <c r="E11" s="20" t="s">
        <v>57</v>
      </c>
      <c r="F11" s="20" t="s">
        <v>407</v>
      </c>
    </row>
    <row r="12" customFormat="false" ht="15" hidden="false" customHeight="false" outlineLevel="0" collapsed="false">
      <c r="A12" s="21" t="n">
        <v>8</v>
      </c>
      <c r="B12" s="21" t="s">
        <v>313</v>
      </c>
      <c r="C12" s="21" t="s">
        <v>317</v>
      </c>
      <c r="D12" s="21" t="s">
        <v>56</v>
      </c>
      <c r="E12" s="21" t="s">
        <v>57</v>
      </c>
      <c r="F12" s="21" t="s">
        <v>406</v>
      </c>
    </row>
    <row r="13" customFormat="false" ht="15" hidden="false" customHeight="false" outlineLevel="0" collapsed="false">
      <c r="A13" s="20" t="n">
        <v>9</v>
      </c>
      <c r="B13" s="20" t="s">
        <v>313</v>
      </c>
      <c r="C13" s="20" t="s">
        <v>319</v>
      </c>
      <c r="D13" s="20" t="s">
        <v>56</v>
      </c>
      <c r="E13" s="20" t="s">
        <v>57</v>
      </c>
      <c r="F13" s="20" t="s">
        <v>407</v>
      </c>
    </row>
    <row r="14" customFormat="false" ht="15" hidden="false" customHeight="false" outlineLevel="0" collapsed="false">
      <c r="A14" s="21" t="n">
        <v>10</v>
      </c>
      <c r="B14" s="21" t="s">
        <v>313</v>
      </c>
      <c r="C14" s="21" t="s">
        <v>132</v>
      </c>
      <c r="D14" s="21" t="s">
        <v>131</v>
      </c>
      <c r="E14" s="21" t="s">
        <v>132</v>
      </c>
      <c r="F14" s="21" t="s">
        <v>406</v>
      </c>
    </row>
    <row r="15" customFormat="false" ht="15" hidden="false" customHeight="false" outlineLevel="0" collapsed="false">
      <c r="A15" s="20" t="n">
        <v>11</v>
      </c>
      <c r="B15" s="20" t="s">
        <v>329</v>
      </c>
      <c r="C15" s="20" t="s">
        <v>57</v>
      </c>
      <c r="D15" s="20" t="s">
        <v>56</v>
      </c>
      <c r="E15" s="20" t="s">
        <v>57</v>
      </c>
      <c r="F15" s="20" t="s">
        <v>406</v>
      </c>
    </row>
    <row r="16" customFormat="false" ht="15" hidden="false" customHeight="false" outlineLevel="0" collapsed="false">
      <c r="A16" s="21" t="n">
        <v>12</v>
      </c>
      <c r="B16" s="21" t="s">
        <v>329</v>
      </c>
      <c r="C16" s="21" t="s">
        <v>185</v>
      </c>
      <c r="D16" s="21" t="s">
        <v>184</v>
      </c>
      <c r="E16" s="21" t="s">
        <v>185</v>
      </c>
      <c r="F16" s="21" t="s">
        <v>406</v>
      </c>
    </row>
    <row r="17" customFormat="false" ht="15" hidden="false" customHeight="false" outlineLevel="0" collapsed="false">
      <c r="A17" s="20" t="n">
        <v>13</v>
      </c>
      <c r="B17" s="20" t="s">
        <v>350</v>
      </c>
      <c r="C17" s="20" t="s">
        <v>171</v>
      </c>
      <c r="D17" s="20" t="s">
        <v>170</v>
      </c>
      <c r="E17" s="20" t="s">
        <v>171</v>
      </c>
      <c r="F17" s="20" t="s">
        <v>406</v>
      </c>
    </row>
    <row r="18" customFormat="false" ht="15" hidden="false" customHeight="false" outlineLevel="0" collapsed="false">
      <c r="A18" s="21" t="n">
        <v>14</v>
      </c>
      <c r="B18" s="21" t="s">
        <v>350</v>
      </c>
      <c r="C18" s="21" t="s">
        <v>45</v>
      </c>
      <c r="D18" s="21" t="s">
        <v>44</v>
      </c>
      <c r="E18" s="21" t="s">
        <v>45</v>
      </c>
      <c r="F18" s="21" t="s">
        <v>406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2026-10-15T13:34:16Z</dcterms:created>
  <dc:creator>openpyxl</dc:creator>
  <dc:description/>
  <dc:language>en-US</dc:language>
  <cp:lastModifiedBy/>
  <dcterms:modified xsi:type="dcterms:W3CDTF">2026-10-15T13:34:16Z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