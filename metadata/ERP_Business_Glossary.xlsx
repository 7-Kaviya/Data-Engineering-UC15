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Glossary" sheetId="2" state="visible" r:id="rId4"/>
  </sheets>
  <definedNames>
    <definedName function="false" hidden="true" localSheetId="1" name="_xlnm._FilterDatabase" vbProcedure="false">Glossary!$A$4:$F$83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<sst xmlns="http://schemas.openxmlformats.org/spreadsheetml/2006/main" count="415" uniqueCount="336">
  <si>
    <t xml:space="preserve">UC15 ERP Data Platform: Business glossary</t>
  </si>
  <si>
    <t xml:space="preserve">Purpose</t>
  </si>
  <si>
    <t xml:space="preserve">Explains in plain language the business and data terms used in the warehouse, so that a reader does not need a data background.</t>
  </si>
  <si>
    <t xml:space="preserve">How to use it</t>
  </si>
  <si>
    <t xml:space="preserve">Open the Glossary sheet. Filter the Category column to one area, or search for a term. Each row gives the meaning, an example from our data, and where the term appears.</t>
  </si>
  <si>
    <t xml:space="preserve">Where definitions come from</t>
  </si>
  <si>
    <t xml:space="preserve">Standard ERP and accounting meaning, plus what the data shows. Where our data does not follow the usual meaning (for example net income), the entry says so and points to the finding in the Data Quality Report.</t>
  </si>
  <si>
    <t xml:space="preserve">Please confirm</t>
  </si>
  <si>
    <t xml:space="preserve">Meanings that the source does not state, such as units, should be confirmed with the data owner.</t>
  </si>
  <si>
    <t xml:space="preserve">Related files</t>
  </si>
  <si>
    <t xml:space="preserve">metadata/Metadata_Repository.xlsx, metadata/Source_to_Target_Mapping.xlsx, docs/Data_Quality_Report.md</t>
  </si>
  <si>
    <t xml:space="preserve">Terms defined</t>
  </si>
  <si>
    <t xml:space="preserve">ERP business glossary</t>
  </si>
  <si>
    <t xml:space="preserve">Plain-language meaning of the terms used in the warehouse and the project. Use the filter on the Category column to see one area.</t>
  </si>
  <si>
    <t xml:space="preserve">#</t>
  </si>
  <si>
    <t xml:space="preserve">Category</t>
  </si>
  <si>
    <t xml:space="preserve">Term</t>
  </si>
  <si>
    <t xml:space="preserve">Definition</t>
  </si>
  <si>
    <t xml:space="preserve">Example or values in our data</t>
  </si>
  <si>
    <t xml:space="preserve">Where it appears</t>
  </si>
  <si>
    <t xml:space="preserve">Data warehouse and engineering</t>
  </si>
  <si>
    <t xml:space="preserve">Audit log</t>
  </si>
  <si>
    <t xml:space="preserve">A record of what an ETL run did: when it started, which steps finished, how many rows were loaded and whether it succeeded.</t>
  </si>
  <si>
    <t xml:space="preserve">etl_run_log</t>
  </si>
  <si>
    <t xml:space="preserve">sql/08_etl_audit_setup.sql</t>
  </si>
  <si>
    <t xml:space="preserve">Bronze layer</t>
  </si>
  <si>
    <t xml:space="preserve">The raw data, copied as it arrived and never changed.</t>
  </si>
  <si>
    <t xml:space="preserve">bronze/staging</t>
  </si>
  <si>
    <t xml:space="preserve">bronze/</t>
  </si>
  <si>
    <t xml:space="preserve">Business key (natural key)</t>
  </si>
  <si>
    <t xml:space="preserve">The ID used for the same record in the source system.</t>
  </si>
  <si>
    <t xml:space="preserve">supplier_id SUP001, transaction_id</t>
  </si>
  <si>
    <t xml:space="preserve">Dimension tables and facts</t>
  </si>
  <si>
    <t xml:space="preserve">Control total</t>
  </si>
  <si>
    <t xml:space="preserve">A number calculated straight from the source files and used to check a load, such as the sum of total_amount.</t>
  </si>
  <si>
    <t xml:space="preserve">FactSales total 456,000.00</t>
  </si>
  <si>
    <t xml:space="preserve">sql/05_reconciliation_checks.sql</t>
  </si>
  <si>
    <t xml:space="preserve">Data lineage</t>
  </si>
  <si>
    <t xml:space="preserve">The path data takes from the source file to the report, and the steps applied on the way.</t>
  </si>
  <si>
    <t xml:space="preserve">raw file, cleaned file, warehouse table</t>
  </si>
  <si>
    <t xml:space="preserve">lineage/</t>
  </si>
  <si>
    <t xml:space="preserve">Data profiling</t>
  </si>
  <si>
    <t xml:space="preserve">Looking at raw data to learn its size, columns, quality and ranges before cleaning it.</t>
  </si>
  <si>
    <t xml:space="preserve">Data Profiling Report</t>
  </si>
  <si>
    <t xml:space="preserve">docs/Data_Profiling_Report.md</t>
  </si>
  <si>
    <t xml:space="preserve">Data validation</t>
  </si>
  <si>
    <t xml:space="preserve">Testing cleaned data against rules, such as no duplicate keys or no negative amounts.</t>
  </si>
  <si>
    <t xml:space="preserve">ERP_Data_Validation_Group2.py</t>
  </si>
  <si>
    <t xml:space="preserve">silver/validation</t>
  </si>
  <si>
    <t xml:space="preserve">Data warehouse</t>
  </si>
  <si>
    <t xml:space="preserve">A database built for analysis. It holds cleaned data from several systems in a shape that makes reports easy to write.</t>
  </si>
  <si>
    <t xml:space="preserve">uc15_dw in PostgreSQL</t>
  </si>
  <si>
    <t xml:space="preserve">All 15 tables</t>
  </si>
  <si>
    <t xml:space="preserve">Degenerate attribute</t>
  </si>
  <si>
    <t xml:space="preserve">A descriptive column kept on the fact table because it has no dimension table of its own.</t>
  </si>
  <si>
    <t xml:space="preserve">customer_id and product_category in FactSales</t>
  </si>
  <si>
    <t xml:space="preserve">FactSales, FactProcurement</t>
  </si>
  <si>
    <t xml:space="preserve">Dimension table</t>
  </si>
  <si>
    <t xml:space="preserve">A table that describes the context of the facts: when, what, who. It is used to group and filter.</t>
  </si>
  <si>
    <t xml:space="preserve">DimDate, DimSupplier</t>
  </si>
  <si>
    <t xml:space="preserve">8 Dim tables</t>
  </si>
  <si>
    <t xml:space="preserve">ETL</t>
  </si>
  <si>
    <t xml:space="preserve">Extract, transform, load: read data from a source, clean or reshape it, and write it into a target.</t>
  </si>
  <si>
    <t xml:space="preserve">Pentaho transformations</t>
  </si>
  <si>
    <t xml:space="preserve">pentaho/transformations</t>
  </si>
  <si>
    <t xml:space="preserve">Fact table</t>
  </si>
  <si>
    <t xml:space="preserve">A table of events that carry numbers you can add up, such as a sale or a purchase order. One row is one event.</t>
  </si>
  <si>
    <t xml:space="preserve">7 Fact tables</t>
  </si>
  <si>
    <t xml:space="preserve">Foreign key</t>
  </si>
  <si>
    <t xml:space="preserve">A column whose value must exist as a key in another table. It is how tables are linked.</t>
  </si>
  <si>
    <t xml:space="preserve">FactSales.date_key points to DimDate.date_key</t>
  </si>
  <si>
    <t xml:space="preserve">Relationships sheet of the mapping</t>
  </si>
  <si>
    <t xml:space="preserve">Gold layer</t>
  </si>
  <si>
    <t xml:space="preserve">The final warehouse tables used for reporting.</t>
  </si>
  <si>
    <t xml:space="preserve">uc15_dw</t>
  </si>
  <si>
    <t xml:space="preserve">PostgreSQL</t>
  </si>
  <si>
    <t xml:space="preserve">Grain</t>
  </si>
  <si>
    <t xml:space="preserve">What one row of a table means. It is decided first when a fact table is designed.</t>
  </si>
  <si>
    <t xml:space="preserve">FactSales: one sales transaction. FactInventoryDemand: one item in one month</t>
  </si>
  <si>
    <t xml:space="preserve">Tables sheet of the metadata repository</t>
  </si>
  <si>
    <t xml:space="preserve">Polling</t>
  </si>
  <si>
    <t xml:space="preserve">Asking an API for new data again and again at a fixed interval, for example every 5 seconds.</t>
  </si>
  <si>
    <t xml:space="preserve">ingest_rest_api.py</t>
  </si>
  <si>
    <t xml:space="preserve">realtime_rest_demo</t>
  </si>
  <si>
    <t xml:space="preserve">Real-time ingestion</t>
  </si>
  <si>
    <t xml:space="preserve">Loading data within seconds of it being created, instead of in a scheduled batch.</t>
  </si>
  <si>
    <t xml:space="preserve">Live prices every 5 seconds</t>
  </si>
  <si>
    <t xml:space="preserve">Reconciliation</t>
  </si>
  <si>
    <t xml:space="preserve">Checking that the warehouse matches its source by comparing row counts and totals.</t>
  </si>
  <si>
    <t xml:space="preserve">15 of 15 tables PASS</t>
  </si>
  <si>
    <t xml:space="preserve">REST API</t>
  </si>
  <si>
    <t xml:space="preserve">A web service that returns data over HTTP, usually as JSON. A program asks for an address and gets the data back.</t>
  </si>
  <si>
    <t xml:space="preserve">api.coinbase.com</t>
  </si>
  <si>
    <t xml:space="preserve">Silver layer</t>
  </si>
  <si>
    <t xml:space="preserve">Data that has been cleaned and checked, but is not yet in the warehouse.</t>
  </si>
  <si>
    <t xml:space="preserve">silver/cleansing/cleaned_datasets</t>
  </si>
  <si>
    <t xml:space="preserve">silver/</t>
  </si>
  <si>
    <t xml:space="preserve">Source-to-target mapping</t>
  </si>
  <si>
    <t xml:space="preserve">A table that shows, for every column in the warehouse, where it comes from and how it is loaded.</t>
  </si>
  <si>
    <t xml:space="preserve">141 columns mapped</t>
  </si>
  <si>
    <t xml:space="preserve">metadata/Source_to_Target_Mapping.xlsx</t>
  </si>
  <si>
    <t xml:space="preserve">Staging</t>
  </si>
  <si>
    <t xml:space="preserve">A holding area for raw copies of the source data before cleaning.</t>
  </si>
  <si>
    <t xml:space="preserve">Sprint 1 staging tables</t>
  </si>
  <si>
    <t xml:space="preserve">Standalone module</t>
  </si>
  <si>
    <t xml:space="preserve">A fact table with its dimensions that is not linked to other modules, because the source IDs do not match across modules.</t>
  </si>
  <si>
    <t xml:space="preserve">Sales, Procurement, Finance</t>
  </si>
  <si>
    <t xml:space="preserve">Star schema design</t>
  </si>
  <si>
    <t xml:space="preserve">Star schema</t>
  </si>
  <si>
    <t xml:space="preserve">A design with fact tables in the middle and dimension tables around them, joined by keys. A query such as sales by month joins a fact to a dimension.</t>
  </si>
  <si>
    <t xml:space="preserve">FactSales joined to DimDate</t>
  </si>
  <si>
    <t xml:space="preserve">sql/01_create_star_schema.sql</t>
  </si>
  <si>
    <t xml:space="preserve">Surrogate key</t>
  </si>
  <si>
    <t xml:space="preserve">A sequence number created by the database to identify a row. It has no business meaning.</t>
  </si>
  <si>
    <t xml:space="preserve">supplier_key, sales_key</t>
  </si>
  <si>
    <t xml:space="preserve">First column of most tables</t>
  </si>
  <si>
    <t xml:space="preserve">Finance and accounts receivable</t>
  </si>
  <si>
    <t xml:space="preserve">Accounts receivable (AR)</t>
  </si>
  <si>
    <t xml:space="preserve">Money that customers owe the company for goods or services already delivered.</t>
  </si>
  <si>
    <t xml:space="preserve">45,839 receivable documents</t>
  </si>
  <si>
    <t xml:space="preserve">FactAccountsReceivable</t>
  </si>
  <si>
    <t xml:space="preserve">Clearing date</t>
  </si>
  <si>
    <t xml:space="preserve">The date the payment was received and the document was settled.</t>
  </si>
  <si>
    <t xml:space="preserve">clearing_date_key</t>
  </si>
  <si>
    <t xml:space="preserve">FactAccountsReceivable.clearing_date_key</t>
  </si>
  <si>
    <t xml:space="preserve">Days overdue</t>
  </si>
  <si>
    <t xml:space="preserve">How many days a payment is late. In this data the value can be negative and does not always match the dates (Finding 9).</t>
  </si>
  <si>
    <t xml:space="preserve">days_overdue_delay</t>
  </si>
  <si>
    <t xml:space="preserve">FactAccountsReceivable.days_overdue_delay</t>
  </si>
  <si>
    <t xml:space="preserve">Delay flag</t>
  </si>
  <si>
    <t xml:space="preserve">A marker set to 1 when the document is treated as delayed, and 0 when it is not.</t>
  </si>
  <si>
    <t xml:space="preserve">1 = 30,096 documents, 0 = 15,743</t>
  </si>
  <si>
    <t xml:space="preserve">FactAccountsReceivable.delayflag</t>
  </si>
  <si>
    <t xml:space="preserve">Document date</t>
  </si>
  <si>
    <t xml:space="preserve">The date the receivable document was created.</t>
  </si>
  <si>
    <t xml:space="preserve">doc_date_key</t>
  </si>
  <si>
    <t xml:space="preserve">FactAccountsReceivable.doc_date_key</t>
  </si>
  <si>
    <t xml:space="preserve">ERP</t>
  </si>
  <si>
    <t xml:space="preserve">Enterprise Resource Planning: software that runs the main functions of a company, such as finance, sales, purchasing, stock and production.</t>
  </si>
  <si>
    <t xml:space="preserve">The ten ERP modules in the use case</t>
  </si>
  <si>
    <t xml:space="preserve">All datasets</t>
  </si>
  <si>
    <t xml:space="preserve">Net due date</t>
  </si>
  <si>
    <t xml:space="preserve">The date by which the customer should pay.</t>
  </si>
  <si>
    <t xml:space="preserve">net_due_date_key</t>
  </si>
  <si>
    <t xml:space="preserve">FactAccountsReceivable.net_due_date_key</t>
  </si>
  <si>
    <t xml:space="preserve">Payment method</t>
  </si>
  <si>
    <t xml:space="preserve">How the payment is made.</t>
  </si>
  <si>
    <t xml:space="preserve">Direct Debits 1, Direct Debits 2, Regulatory, Wire</t>
  </si>
  <si>
    <t xml:space="preserve">FactAccountsReceivable.payment_method_description</t>
  </si>
  <si>
    <t xml:space="preserve">Payment term</t>
  </si>
  <si>
    <t xml:space="preserve">The agreed period or conditions for paying a document.</t>
  </si>
  <si>
    <t xml:space="preserve">payment_term code</t>
  </si>
  <si>
    <t xml:space="preserve">FactAccountsReceivable.payment_term</t>
  </si>
  <si>
    <t xml:space="preserve">Receivable document</t>
  </si>
  <si>
    <t xml:space="preserve">A record of one amount owed by a customer, such as an invoice.</t>
  </si>
  <si>
    <t xml:space="preserve">document_no</t>
  </si>
  <si>
    <t xml:space="preserve">FactAccountsReceivable.document_no</t>
  </si>
  <si>
    <t xml:space="preserve">Sales and customers</t>
  </si>
  <si>
    <t xml:space="preserve">Cancelled order</t>
  </si>
  <si>
    <t xml:space="preserve">A purchase order that was cancelled. In this data it still carries a full cost, which is 25.1% of the total (Finding 11).</t>
  </si>
  <si>
    <t xml:space="preserve">330 orders</t>
  </si>
  <si>
    <t xml:space="preserve">FactProcurement</t>
  </si>
  <si>
    <t xml:space="preserve">PO status</t>
  </si>
  <si>
    <t xml:space="preserve">Where an order stands. Ordered: placed, nothing received yet. Partially Delivered: some of the items have arrived. Delivered: everything has arrived. Cancelled: the order was cancelled.</t>
  </si>
  <si>
    <t xml:space="preserve">Delivered, Ordered, Cancelled, Partially Delivered</t>
  </si>
  <si>
    <t xml:space="preserve">FactProcurement.po_status</t>
  </si>
  <si>
    <t xml:space="preserve">Purchase order (PO)</t>
  </si>
  <si>
    <t xml:space="preserve">A document sent to a supplier to buy items. It states the item, quantity and cost.</t>
  </si>
  <si>
    <t xml:space="preserve">1,300 purchase orders</t>
  </si>
  <si>
    <t xml:space="preserve">Supplier</t>
  </si>
  <si>
    <t xml:space="preserve">A company that sells items to the business.</t>
  </si>
  <si>
    <t xml:space="preserve">SUP001 to SUP010</t>
  </si>
  <si>
    <t xml:space="preserve">DimSupplier</t>
  </si>
  <si>
    <t xml:space="preserve">Unit cost</t>
  </si>
  <si>
    <t xml:space="preserve">What one unit of an item costs on the order.</t>
  </si>
  <si>
    <t xml:space="preserve">unit_cost</t>
  </si>
  <si>
    <t xml:space="preserve">FactProcurement.unit_cost</t>
  </si>
  <si>
    <t xml:space="preserve">Inventory and warehouse</t>
  </si>
  <si>
    <t xml:space="preserve">Credit limit</t>
  </si>
  <si>
    <t xml:space="preserve">The most a customer is allowed to owe at one time.</t>
  </si>
  <si>
    <t xml:space="preserve">25,944.90 to 998,980</t>
  </si>
  <si>
    <t xml:space="preserve">DimCustomerMaster.credit_limit</t>
  </si>
  <si>
    <t xml:space="preserve">Customer master</t>
  </si>
  <si>
    <t xml:space="preserve">The master list of customers with their contact details, type and status.</t>
  </si>
  <si>
    <t xml:space="preserve">1,500 customers</t>
  </si>
  <si>
    <t xml:space="preserve">DimCustomerMaster</t>
  </si>
  <si>
    <t xml:space="preserve">Customer status</t>
  </si>
  <si>
    <t xml:space="preserve">Whether the customer is active or inactive.</t>
  </si>
  <si>
    <t xml:space="preserve">Active, Inactive</t>
  </si>
  <si>
    <t xml:space="preserve">DimCustomerMaster.customer_status</t>
  </si>
  <si>
    <t xml:space="preserve">Customer type</t>
  </si>
  <si>
    <t xml:space="preserve">The kind of customer: Wholesale (buys in bulk), Retail (buys for sale to consumers), Individual (a person) or Corporate (a company).</t>
  </si>
  <si>
    <t xml:space="preserve">Wholesale, Retail, Individual, Corporate</t>
  </si>
  <si>
    <t xml:space="preserve">DimCustomerMaster.customer_type</t>
  </si>
  <si>
    <t xml:space="preserve">Sales transaction</t>
  </si>
  <si>
    <t xml:space="preserve">One sale of a product to a customer.</t>
  </si>
  <si>
    <t xml:space="preserve">1,000 transactions in 2023</t>
  </si>
  <si>
    <t xml:space="preserve">FactSales</t>
  </si>
  <si>
    <t xml:space="preserve">Manufacturing and assets</t>
  </si>
  <si>
    <t xml:space="preserve">Holding cost</t>
  </si>
  <si>
    <t xml:space="preserve">The cost of keeping one unit in stock, for example for one day.</t>
  </si>
  <si>
    <t xml:space="preserve">holding_cost_per_unit_day</t>
  </si>
  <si>
    <t xml:space="preserve">FactWarehouseSnapshot</t>
  </si>
  <si>
    <t xml:space="preserve">Inventory</t>
  </si>
  <si>
    <t xml:space="preserve">The goods a company holds to sell or use.</t>
  </si>
  <si>
    <t xml:space="preserve">1,000 inventory items</t>
  </si>
  <si>
    <t xml:space="preserve">DimItemInventory</t>
  </si>
  <si>
    <t xml:space="preserve">Lead time</t>
  </si>
  <si>
    <t xml:space="preserve">The number of days between ordering an item and receiving it.</t>
  </si>
  <si>
    <t xml:space="preserve">2 to 9 days</t>
  </si>
  <si>
    <t xml:space="preserve">FactWarehouseSnapshot.lead_time_days</t>
  </si>
  <si>
    <t xml:space="preserve">Monthly demand</t>
  </si>
  <si>
    <t xml:space="preserve">The number of units asked for in a month. Stored as 12 rows per item.</t>
  </si>
  <si>
    <t xml:space="preserve">units_demanded</t>
  </si>
  <si>
    <t xml:space="preserve">FactInventoryDemand</t>
  </si>
  <si>
    <t xml:space="preserve">Order fulfilment rate</t>
  </si>
  <si>
    <t xml:space="preserve">The share of orders that are delivered complete.</t>
  </si>
  <si>
    <t xml:space="preserve">0.7 to 1.0</t>
  </si>
  <si>
    <t xml:space="preserve">FactWarehouseSnapshot.order_fulfillment_rate</t>
  </si>
  <si>
    <t xml:space="preserve">Picking time</t>
  </si>
  <si>
    <t xml:space="preserve">The time needed to collect an item from storage for an order.</t>
  </si>
  <si>
    <t xml:space="preserve">picking_time_seconds</t>
  </si>
  <si>
    <t xml:space="preserve">Reorder point</t>
  </si>
  <si>
    <t xml:space="preserve">The stock level at which a new order should be placed.</t>
  </si>
  <si>
    <t xml:space="preserve">reorder_point</t>
  </si>
  <si>
    <t xml:space="preserve">FactWarehouseSnapshot.reorder_point</t>
  </si>
  <si>
    <t xml:space="preserve">Stock level</t>
  </si>
  <si>
    <t xml:space="preserve">The number of units currently in stock.</t>
  </si>
  <si>
    <t xml:space="preserve">20 to 499</t>
  </si>
  <si>
    <t xml:space="preserve">FactWarehouseSnapshot.stock_level</t>
  </si>
  <si>
    <t xml:space="preserve">Stockout</t>
  </si>
  <si>
    <t xml:space="preserve">A time when an item is demanded but is out of stock.</t>
  </si>
  <si>
    <t xml:space="preserve">stockout_count_last_month</t>
  </si>
  <si>
    <t xml:space="preserve">FactWarehouseSnapshot.stockout_count_last_month</t>
  </si>
  <si>
    <t xml:space="preserve">Storage zone</t>
  </si>
  <si>
    <t xml:space="preserve">A named area of the warehouse.</t>
  </si>
  <si>
    <t xml:space="preserve">A, B, C, D</t>
  </si>
  <si>
    <t xml:space="preserve">DimWarehouseItem.zone</t>
  </si>
  <si>
    <t xml:space="preserve">Turnover ratio</t>
  </si>
  <si>
    <t xml:space="preserve">How many times the stock is sold and replaced in a period. A higher number means stock moves faster.</t>
  </si>
  <si>
    <t xml:space="preserve">1 to 15</t>
  </si>
  <si>
    <t xml:space="preserve">FactWarehouseSnapshot.turnover_ratio</t>
  </si>
  <si>
    <t xml:space="preserve">Finance accounts</t>
  </si>
  <si>
    <t xml:space="preserve">Asset</t>
  </si>
  <si>
    <t xml:space="preserve">A piece of equipment owned by the company.</t>
  </si>
  <si>
    <t xml:space="preserve">Sensor, Transformer, Meter</t>
  </si>
  <si>
    <t xml:space="preserve">DimAsset</t>
  </si>
  <si>
    <t xml:space="preserve">Condition score</t>
  </si>
  <si>
    <t xml:space="preserve">A score between 0 and 1 for the condition of an asset. The source does not say whether higher is better.</t>
  </si>
  <si>
    <t xml:space="preserve">0.0037 to 0.9951</t>
  </si>
  <si>
    <t xml:space="preserve">DimAsset.condition_score</t>
  </si>
  <si>
    <t xml:space="preserve">Disposal decision</t>
  </si>
  <si>
    <t xml:space="preserve">What is planned for the asset at the end of its use: Recycle, Discard, Sell or Retain.</t>
  </si>
  <si>
    <t xml:space="preserve">Recycle 493</t>
  </si>
  <si>
    <t xml:space="preserve">DimAsset.disposal_decision</t>
  </si>
  <si>
    <t xml:space="preserve">Failed job</t>
  </si>
  <si>
    <t xml:space="preserve">A job with status Failed. It has no actual start date, so its actual start key is empty.</t>
  </si>
  <si>
    <t xml:space="preserve">129 jobs</t>
  </si>
  <si>
    <t xml:space="preserve">FactManufacturing.actual_start_date_key</t>
  </si>
  <si>
    <t xml:space="preserve">Job status</t>
  </si>
  <si>
    <t xml:space="preserve">Whether the job finished: Completed, Delayed (finished late) or Failed (did not finish).</t>
  </si>
  <si>
    <t xml:space="preserve">673 Completed, 198 Delayed, 129 Failed</t>
  </si>
  <si>
    <t xml:space="preserve">FactManufacturing.job_status</t>
  </si>
  <si>
    <t xml:space="preserve">Machine availability</t>
  </si>
  <si>
    <t xml:space="preserve">How much of the time a machine is available for work. It looks like a percentage, 80 to 99.</t>
  </si>
  <si>
    <t xml:space="preserve">machine_availability</t>
  </si>
  <si>
    <t xml:space="preserve">FactManufacturing</t>
  </si>
  <si>
    <t xml:space="preserve">Operation type</t>
  </si>
  <si>
    <t xml:space="preserve">The kind of machining done: Lathe, Grinding, Milling, Additive or Drilling.</t>
  </si>
  <si>
    <t xml:space="preserve">Lathe 212 jobs</t>
  </si>
  <si>
    <t xml:space="preserve">FactManufacturing.operation_type</t>
  </si>
  <si>
    <t xml:space="preserve">Operational state</t>
  </si>
  <si>
    <t xml:space="preserve">The condition of an asset in use: Active, Degraded or Obsolete.</t>
  </si>
  <si>
    <t xml:space="preserve">842 Obsolete, 381 Degraded, 22 Active</t>
  </si>
  <si>
    <t xml:space="preserve">DimAsset.operational_state</t>
  </si>
  <si>
    <t xml:space="preserve">Optimization category</t>
  </si>
  <si>
    <t xml:space="preserve">An efficiency band given to a job: Low, Moderate, High or Optimal Efficiency.</t>
  </si>
  <si>
    <t xml:space="preserve">65% of jobs are Low Efficiency</t>
  </si>
  <si>
    <t xml:space="preserve">FactManufacturing.optimization_category</t>
  </si>
  <si>
    <t xml:space="preserve">Production job</t>
  </si>
  <si>
    <t xml:space="preserve">One piece of work run on a machine.</t>
  </si>
  <si>
    <t xml:space="preserve">1,000 jobs on machines M01 to M05</t>
  </si>
  <si>
    <t xml:space="preserve">Procurement</t>
  </si>
  <si>
    <t xml:space="preserve">Account type</t>
  </si>
  <si>
    <t xml:space="preserve">The group an account belongs to in the books: Asset, Liability, Revenue or Expense.</t>
  </si>
  <si>
    <t xml:space="preserve">Expense 257 transactions</t>
  </si>
  <si>
    <t xml:space="preserve">FactFinance.account_type</t>
  </si>
  <si>
    <t xml:space="preserve">Cash flow</t>
  </si>
  <si>
    <t xml:space="preserve">The money moving into and out of the business.</t>
  </si>
  <si>
    <t xml:space="preserve">cash_flow</t>
  </si>
  <si>
    <t xml:space="preserve">FactFinance.cash_flow</t>
  </si>
  <si>
    <t xml:space="preserve">Expenditure</t>
  </si>
  <si>
    <t xml:space="preserve">Money spent by the business.</t>
  </si>
  <si>
    <t xml:space="preserve">expenditure</t>
  </si>
  <si>
    <t xml:space="preserve">FactFinance.expenditure</t>
  </si>
  <si>
    <t xml:space="preserve">Gross profit</t>
  </si>
  <si>
    <t xml:space="preserve">Normally revenue minus the direct cost of the goods sold. The values here cannot be reproduced from the other columns (Finding 12).</t>
  </si>
  <si>
    <t xml:space="preserve">gross_profit</t>
  </si>
  <si>
    <t xml:space="preserve">FactFinance.gross_profit</t>
  </si>
  <si>
    <t xml:space="preserve">Net income</t>
  </si>
  <si>
    <t xml:space="preserve">Normally revenue minus all expenses. In this data it does not equal revenue minus expenditure in any row (Finding 12).</t>
  </si>
  <si>
    <t xml:space="preserve">net_income</t>
  </si>
  <si>
    <t xml:space="preserve">FactFinance.net_income</t>
  </si>
  <si>
    <t xml:space="preserve">Profit margin</t>
  </si>
  <si>
    <t xml:space="preserve">Normally profit divided by revenue. Here it is a fraction between 0.20 and 0.80 that does not match net income divided by revenue (Finding 12).</t>
  </si>
  <si>
    <t xml:space="preserve">profit_margin</t>
  </si>
  <si>
    <t xml:space="preserve">FactFinance.profit_margin</t>
  </si>
  <si>
    <t xml:space="preserve">Revenue</t>
  </si>
  <si>
    <t xml:space="preserve">Income from selling goods or services.</t>
  </si>
  <si>
    <t xml:space="preserve">revenue</t>
  </si>
  <si>
    <t xml:space="preserve">FactFinance.revenue</t>
  </si>
  <si>
    <t xml:space="preserve">Human resources</t>
  </si>
  <si>
    <t xml:space="preserve">Expenditure percentage</t>
  </si>
  <si>
    <t xml:space="preserve">The share of the salary that is spent: expenditure divided by salary.</t>
  </si>
  <si>
    <t xml:space="preserve">0.63 to 0.98</t>
  </si>
  <si>
    <t xml:space="preserve">DimEmployee.expenditure_percentage</t>
  </si>
  <si>
    <t xml:space="preserve">Salary</t>
  </si>
  <si>
    <t xml:space="preserve">What an employee is paid. In this data it equals expenditure plus savings in every row.</t>
  </si>
  <si>
    <t xml:space="preserve">24,100 to 80,000</t>
  </si>
  <si>
    <t xml:space="preserve">DimEmployee.salary</t>
  </si>
  <si>
    <t xml:space="preserve">Savings percentage</t>
  </si>
  <si>
    <t xml:space="preserve">The share of the salary that is saved: savings divided by salary.</t>
  </si>
  <si>
    <t xml:space="preserve">0.02 to 0.37</t>
  </si>
  <si>
    <t xml:space="preserve">DimEmployee.savings_percentage</t>
  </si>
  <si>
    <t xml:space="preserve">Project terms</t>
  </si>
  <si>
    <t xml:space="preserve">Combined dataset</t>
  </si>
  <si>
    <t xml:space="preserve">A separate synthetic file (erp_cleaned_data.csv) built from files that are not the official datasets. It is not loaded into the warehouse and is used only for cross-module validation.</t>
  </si>
  <si>
    <t xml:space="preserve">erp_cleaned_data.csv</t>
  </si>
  <si>
    <t xml:space="preserve">Finding 8</t>
  </si>
  <si>
    <t xml:space="preserve">Pentaho job</t>
  </si>
  <si>
    <t xml:space="preserve">A workflow in Pentaho that runs transformations in order and decides what happens on success or failure.</t>
  </si>
  <si>
    <t xml:space="preserve">ETL_Load_Warehouse.kjb</t>
  </si>
  <si>
    <t xml:space="preserve">pentaho/jobs</t>
  </si>
  <si>
    <t xml:space="preserve">Pentaho transformation</t>
  </si>
  <si>
    <t xml:space="preserve">A Pentaho file that reads data, changes it and writes it. One per warehouse table here.</t>
  </si>
  <si>
    <t xml:space="preserve">Load FactSales.ktr</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</si>
</sst>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b val="true"/>
      <sz val="10"/>
      <name val="Arial"/>
      <family val="0"/>
      <charset val="1"/>
    </font>
    <font>
      <sz val="10"/>
      <name val="Arial"/>
      <family val="0"/>
      <charset val="1"/>
    </font>
    <font>
      <b val="true"/>
      <sz val="14"/>
      <name val="Arial"/>
      <family val="0"/>
      <charset val="1"/>
    </font>
    <font>
      <i val="true"/>
      <sz val="10"/>
      <name val="Arial"/>
      <family val="0"/>
      <charset val="1"/>
    </font>
    <font>
      <b val="true"/>
      <sz val="10"/>
      <color rgb="FFFFFFFF"/>
      <name val="Arial"/>
      <family val="0"/>
      <charset val="1"/>
    </font>
  </fonts>
  <fills count="4">
    <fill>
      <patternFill patternType="none"/>
    </fill>
    <fill>
      <patternFill patternType="gray125"/>
    </fill>
    <fill>
      <patternFill patternType="solid">
        <fgColor rgb="FF24424D"/>
        <bgColor rgb="FF003366"/>
      </patternFill>
    </fill>
    <fill>
      <patternFill patternType="solid">
        <fgColor rgb="FFF3F5F7"/>
        <bgColor rgb="FFFFFFFF"/>
      </patternFill>
    </fill>
  </fills>
  <borders count="2">
    <border diagonalUp="false" diagonalDown="false">
      <left/>
      <right/>
      <top/>
      <bottom/>
      <diagonal/>
    </border>
    <border diagonalUp="false" diagonalDown="false">
      <left style="thin">
        <color rgb="FFD5DAE0"/>
      </left>
      <right style="thin">
        <color rgb="FFD5DAE0"/>
      </right>
      <top style="thin">
        <color rgb="FFD5DAE0"/>
      </top>
      <bottom style="thin">
        <color rgb="FFD5DA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4424D"/>
          <bgColor rgb="FF000000"/>
        </patternFill>
      </fill>
    </dxf>
    <dxf>
      <fill>
        <patternFill patternType="solid">
          <fgColor rgb="FFF3F5F7"/>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3F5F7"/>
      <rgbColor rgb="FFCCFFFF"/>
      <rgbColor rgb="FF660066"/>
      <rgbColor rgb="FFFF8080"/>
      <rgbColor rgb="FF0066CC"/>
      <rgbColor rgb="FFD5DA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4424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9.7" hidden="false" customHeight="false" outlineLevel="0" collapsed="false">
      <c r="A1" s="1" t="s">
        <v>0</v>
      </c>
    </row>
    <row r="3" customFormat="false" ht="23.85" hidden="false" customHeight="false" outlineLevel="0" collapsed="false">
      <c r="A3" s="2" t="s">
        <v>1</v>
      </c>
      <c r="B3" s="3" t="s">
        <v>2</v>
      </c>
    </row>
    <row r="4" customFormat="false" ht="23.85" hidden="false" customHeight="false" outlineLevel="0" collapsed="false">
      <c r="A4" s="2" t="s">
        <v>3</v>
      </c>
      <c r="B4" s="3" t="s">
        <v>4</v>
      </c>
    </row>
    <row r="5" customFormat="false" ht="23.85" hidden="false" customHeight="false" outlineLevel="0" collapsed="false">
      <c r="A5" s="2" t="s">
        <v>5</v>
      </c>
      <c r="B5" s="3" t="s">
        <v>6</v>
      </c>
    </row>
    <row r="6" customFormat="false" ht="15" hidden="false" customHeight="false" outlineLevel="0" collapsed="false">
      <c r="A6" s="2" t="s">
        <v>7</v>
      </c>
      <c r="B6" s="3" t="s">
        <v>8</v>
      </c>
    </row>
    <row r="7" customFormat="false" ht="15" hidden="false" customHeight="false" outlineLevel="0" collapsed="false">
      <c r="A7" s="2" t="s">
        <v>9</v>
      </c>
      <c r="B7" s="3" t="s">
        <v>10</v>
      </c>
    </row>
    <row r="9" customFormat="false" ht="15" hidden="false" customHeight="false" outlineLevel="0" collapsed="false">
      <c r="A9" s="4" t="s">
        <v>11</v>
      </c>
      <c r="B9" s="5" t="n">
        <f aca="false">COUNTA(Glossary!C5:C83)</f>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28"/>
    <col collapsed="false" customWidth="true" hidden="false" outlineLevel="0" max="4" min="4" style="0" width="90"/>
    <col collapsed="false" customWidth="true" hidden="false" outlineLevel="0" max="6" min="5" style="0" width="44"/>
  </cols>
  <sheetData>
    <row r="1" customFormat="false" ht="17.35" hidden="false" customHeight="false" outlineLevel="0" collapsed="false">
      <c r="A1" s="6" t="s">
        <v>12</v>
      </c>
    </row>
    <row r="2" customFormat="false" ht="15" hidden="false" customHeight="false" outlineLevel="0" collapsed="false">
      <c r="A2" s="7" t="s">
        <v>13</v>
      </c>
    </row>
    <row r="4" customFormat="false" ht="15" hidden="false" customHeight="false" outlineLevel="0" collapsed="false">
      <c r="A4" s="8" t="s">
        <v>14</v>
      </c>
      <c r="B4" s="8" t="s">
        <v>15</v>
      </c>
      <c r="C4" s="8" t="s">
        <v>16</v>
      </c>
      <c r="D4" s="8" t="s">
        <v>17</v>
      </c>
      <c r="E4" s="8" t="s">
        <v>18</v>
      </c>
      <c r="F4" s="8" t="s">
        <v>19</v>
      </c>
    </row>
    <row r="5" customFormat="false" ht="23.85" hidden="false" customHeight="false" outlineLevel="0" collapsed="false">
      <c r="A5" s="9" t="n">
        <v>1</v>
      </c>
      <c r="B5" s="9" t="s">
        <v>20</v>
      </c>
      <c r="C5" s="10" t="s">
        <v>21</v>
      </c>
      <c r="D5" s="9" t="s">
        <v>22</v>
      </c>
      <c r="E5" s="9" t="s">
        <v>23</v>
      </c>
      <c r="F5" s="9" t="s">
        <v>24</v>
      </c>
    </row>
    <row r="6" customFormat="false" ht="15" hidden="false" customHeight="false" outlineLevel="0" collapsed="false">
      <c r="A6" s="9" t="n">
        <v>2</v>
      </c>
      <c r="B6" s="9" t="s">
        <v>20</v>
      </c>
      <c r="C6" s="10" t="s">
        <v>25</v>
      </c>
      <c r="D6" s="9" t="s">
        <v>26</v>
      </c>
      <c r="E6" s="9" t="s">
        <v>27</v>
      </c>
      <c r="F6" s="9" t="s">
        <v>28</v>
      </c>
    </row>
    <row r="7" customFormat="false" ht="15" hidden="false" customHeight="false" outlineLevel="0" collapsed="false">
      <c r="A7" s="9" t="n">
        <v>3</v>
      </c>
      <c r="B7" s="9" t="s">
        <v>20</v>
      </c>
      <c r="C7" s="10" t="s">
        <v>29</v>
      </c>
      <c r="D7" s="9" t="s">
        <v>30</v>
      </c>
      <c r="E7" s="9" t="s">
        <v>31</v>
      </c>
      <c r="F7" s="9" t="s">
        <v>32</v>
      </c>
    </row>
    <row r="8" customFormat="false" ht="15" hidden="false" customHeight="false" outlineLevel="0" collapsed="false">
      <c r="A8" s="9" t="n">
        <v>4</v>
      </c>
      <c r="B8" s="9" t="s">
        <v>20</v>
      </c>
      <c r="C8" s="10" t="s">
        <v>33</v>
      </c>
      <c r="D8" s="9" t="s">
        <v>34</v>
      </c>
      <c r="E8" s="9" t="s">
        <v>35</v>
      </c>
      <c r="F8" s="9" t="s">
        <v>36</v>
      </c>
    </row>
    <row r="9" customFormat="false" ht="15" hidden="false" customHeight="false" outlineLevel="0" collapsed="false">
      <c r="A9" s="9" t="n">
        <v>5</v>
      </c>
      <c r="B9" s="9" t="s">
        <v>20</v>
      </c>
      <c r="C9" s="10" t="s">
        <v>37</v>
      </c>
      <c r="D9" s="9" t="s">
        <v>38</v>
      </c>
      <c r="E9" s="9" t="s">
        <v>39</v>
      </c>
      <c r="F9" s="9" t="s">
        <v>40</v>
      </c>
    </row>
    <row r="10" customFormat="false" ht="15" hidden="false" customHeight="false" outlineLevel="0" collapsed="false">
      <c r="A10" s="9" t="n">
        <v>6</v>
      </c>
      <c r="B10" s="9" t="s">
        <v>20</v>
      </c>
      <c r="C10" s="10" t="s">
        <v>41</v>
      </c>
      <c r="D10" s="9" t="s">
        <v>42</v>
      </c>
      <c r="E10" s="9" t="s">
        <v>43</v>
      </c>
      <c r="F10" s="9" t="s">
        <v>44</v>
      </c>
    </row>
    <row r="11" customFormat="false" ht="15" hidden="false" customHeight="false" outlineLevel="0" collapsed="false">
      <c r="A11" s="9" t="n">
        <v>7</v>
      </c>
      <c r="B11" s="9" t="s">
        <v>20</v>
      </c>
      <c r="C11" s="10" t="s">
        <v>45</v>
      </c>
      <c r="D11" s="9" t="s">
        <v>46</v>
      </c>
      <c r="E11" s="9" t="s">
        <v>47</v>
      </c>
      <c r="F11" s="9" t="s">
        <v>48</v>
      </c>
    </row>
    <row r="12" customFormat="false" ht="23.85" hidden="false" customHeight="false" outlineLevel="0" collapsed="false">
      <c r="A12" s="9" t="n">
        <v>8</v>
      </c>
      <c r="B12" s="9" t="s">
        <v>20</v>
      </c>
      <c r="C12" s="10" t="s">
        <v>49</v>
      </c>
      <c r="D12" s="9" t="s">
        <v>50</v>
      </c>
      <c r="E12" s="9" t="s">
        <v>51</v>
      </c>
      <c r="F12" s="9" t="s">
        <v>52</v>
      </c>
    </row>
    <row r="13" customFormat="false" ht="15" hidden="false" customHeight="false" outlineLevel="0" collapsed="false">
      <c r="A13" s="9" t="n">
        <v>9</v>
      </c>
      <c r="B13" s="9" t="s">
        <v>20</v>
      </c>
      <c r="C13" s="10" t="s">
        <v>53</v>
      </c>
      <c r="D13" s="9" t="s">
        <v>54</v>
      </c>
      <c r="E13" s="9" t="s">
        <v>55</v>
      </c>
      <c r="F13" s="9" t="s">
        <v>56</v>
      </c>
    </row>
    <row r="14" customFormat="false" ht="15" hidden="false" customHeight="false" outlineLevel="0" collapsed="false">
      <c r="A14" s="9" t="n">
        <v>10</v>
      </c>
      <c r="B14" s="9" t="s">
        <v>20</v>
      </c>
      <c r="C14" s="10" t="s">
        <v>57</v>
      </c>
      <c r="D14" s="9" t="s">
        <v>58</v>
      </c>
      <c r="E14" s="9" t="s">
        <v>59</v>
      </c>
      <c r="F14" s="9" t="s">
        <v>60</v>
      </c>
    </row>
    <row r="15" customFormat="false" ht="15" hidden="false" customHeight="false" outlineLevel="0" collapsed="false">
      <c r="A15" s="9" t="n">
        <v>11</v>
      </c>
      <c r="B15" s="9" t="s">
        <v>20</v>
      </c>
      <c r="C15" s="10" t="s">
        <v>61</v>
      </c>
      <c r="D15" s="9" t="s">
        <v>62</v>
      </c>
      <c r="E15" s="9" t="s">
        <v>63</v>
      </c>
      <c r="F15" s="9" t="s">
        <v>64</v>
      </c>
    </row>
    <row r="16" customFormat="false" ht="15" hidden="false" customHeight="false" outlineLevel="0" collapsed="false">
      <c r="A16" s="9" t="n">
        <v>12</v>
      </c>
      <c r="B16" s="9" t="s">
        <v>20</v>
      </c>
      <c r="C16" s="10" t="s">
        <v>65</v>
      </c>
      <c r="D16" s="9" t="s">
        <v>66</v>
      </c>
      <c r="E16" s="9" t="s">
        <v>56</v>
      </c>
      <c r="F16" s="9" t="s">
        <v>67</v>
      </c>
    </row>
    <row r="17" customFormat="false" ht="15" hidden="false" customHeight="false" outlineLevel="0" collapsed="false">
      <c r="A17" s="9" t="n">
        <v>13</v>
      </c>
      <c r="B17" s="9" t="s">
        <v>20</v>
      </c>
      <c r="C17" s="10" t="s">
        <v>68</v>
      </c>
      <c r="D17" s="9" t="s">
        <v>69</v>
      </c>
      <c r="E17" s="9" t="s">
        <v>70</v>
      </c>
      <c r="F17" s="9" t="s">
        <v>71</v>
      </c>
    </row>
    <row r="18" customFormat="false" ht="15" hidden="false" customHeight="false" outlineLevel="0" collapsed="false">
      <c r="A18" s="9" t="n">
        <v>14</v>
      </c>
      <c r="B18" s="9" t="s">
        <v>20</v>
      </c>
      <c r="C18" s="10" t="s">
        <v>72</v>
      </c>
      <c r="D18" s="9" t="s">
        <v>73</v>
      </c>
      <c r="E18" s="9" t="s">
        <v>74</v>
      </c>
      <c r="F18" s="9" t="s">
        <v>75</v>
      </c>
    </row>
    <row r="19" customFormat="false" ht="23.85" hidden="false" customHeight="false" outlineLevel="0" collapsed="false">
      <c r="A19" s="9" t="n">
        <v>15</v>
      </c>
      <c r="B19" s="9" t="s">
        <v>20</v>
      </c>
      <c r="C19" s="10" t="s">
        <v>76</v>
      </c>
      <c r="D19" s="9" t="s">
        <v>77</v>
      </c>
      <c r="E19" s="9" t="s">
        <v>78</v>
      </c>
      <c r="F19" s="9" t="s">
        <v>79</v>
      </c>
    </row>
    <row r="20" customFormat="false" ht="15" hidden="false" customHeight="false" outlineLevel="0" collapsed="false">
      <c r="A20" s="9" t="n">
        <v>16</v>
      </c>
      <c r="B20" s="9" t="s">
        <v>20</v>
      </c>
      <c r="C20" s="10" t="s">
        <v>80</v>
      </c>
      <c r="D20" s="9" t="s">
        <v>81</v>
      </c>
      <c r="E20" s="9" t="s">
        <v>82</v>
      </c>
      <c r="F20" s="9" t="s">
        <v>83</v>
      </c>
    </row>
    <row r="21" customFormat="false" ht="15" hidden="false" customHeight="false" outlineLevel="0" collapsed="false">
      <c r="A21" s="9" t="n">
        <v>17</v>
      </c>
      <c r="B21" s="9" t="s">
        <v>20</v>
      </c>
      <c r="C21" s="10" t="s">
        <v>84</v>
      </c>
      <c r="D21" s="9" t="s">
        <v>85</v>
      </c>
      <c r="E21" s="9" t="s">
        <v>86</v>
      </c>
      <c r="F21" s="9" t="s">
        <v>83</v>
      </c>
    </row>
    <row r="22" customFormat="false" ht="15" hidden="false" customHeight="false" outlineLevel="0" collapsed="false">
      <c r="A22" s="9" t="n">
        <v>18</v>
      </c>
      <c r="B22" s="9" t="s">
        <v>20</v>
      </c>
      <c r="C22" s="10" t="s">
        <v>87</v>
      </c>
      <c r="D22" s="9" t="s">
        <v>88</v>
      </c>
      <c r="E22" s="9" t="s">
        <v>89</v>
      </c>
      <c r="F22" s="9" t="s">
        <v>36</v>
      </c>
    </row>
    <row r="23" customFormat="false" ht="23.85" hidden="false" customHeight="false" outlineLevel="0" collapsed="false">
      <c r="A23" s="9" t="n">
        <v>19</v>
      </c>
      <c r="B23" s="9" t="s">
        <v>20</v>
      </c>
      <c r="C23" s="10" t="s">
        <v>90</v>
      </c>
      <c r="D23" s="9" t="s">
        <v>91</v>
      </c>
      <c r="E23" s="9" t="s">
        <v>92</v>
      </c>
      <c r="F23" s="9" t="s">
        <v>83</v>
      </c>
    </row>
    <row r="24" customFormat="false" ht="15" hidden="false" customHeight="false" outlineLevel="0" collapsed="false">
      <c r="A24" s="9" t="n">
        <v>20</v>
      </c>
      <c r="B24" s="9" t="s">
        <v>20</v>
      </c>
      <c r="C24" s="10" t="s">
        <v>93</v>
      </c>
      <c r="D24" s="9" t="s">
        <v>94</v>
      </c>
      <c r="E24" s="9" t="s">
        <v>95</v>
      </c>
      <c r="F24" s="9" t="s">
        <v>96</v>
      </c>
    </row>
    <row r="25" customFormat="false" ht="15" hidden="false" customHeight="false" outlineLevel="0" collapsed="false">
      <c r="A25" s="9" t="n">
        <v>21</v>
      </c>
      <c r="B25" s="9" t="s">
        <v>20</v>
      </c>
      <c r="C25" s="10" t="s">
        <v>97</v>
      </c>
      <c r="D25" s="9" t="s">
        <v>98</v>
      </c>
      <c r="E25" s="9" t="s">
        <v>99</v>
      </c>
      <c r="F25" s="9" t="s">
        <v>100</v>
      </c>
    </row>
    <row r="26" customFormat="false" ht="15" hidden="false" customHeight="false" outlineLevel="0" collapsed="false">
      <c r="A26" s="9" t="n">
        <v>22</v>
      </c>
      <c r="B26" s="9" t="s">
        <v>20</v>
      </c>
      <c r="C26" s="10" t="s">
        <v>101</v>
      </c>
      <c r="D26" s="9" t="s">
        <v>102</v>
      </c>
      <c r="E26" s="9" t="s">
        <v>103</v>
      </c>
      <c r="F26" s="9" t="s">
        <v>27</v>
      </c>
    </row>
    <row r="27" customFormat="false" ht="23.85" hidden="false" customHeight="false" outlineLevel="0" collapsed="false">
      <c r="A27" s="9" t="n">
        <v>23</v>
      </c>
      <c r="B27" s="9" t="s">
        <v>20</v>
      </c>
      <c r="C27" s="10" t="s">
        <v>104</v>
      </c>
      <c r="D27" s="9" t="s">
        <v>105</v>
      </c>
      <c r="E27" s="9" t="s">
        <v>106</v>
      </c>
      <c r="F27" s="9" t="s">
        <v>107</v>
      </c>
    </row>
    <row r="28" customFormat="false" ht="23.85" hidden="false" customHeight="false" outlineLevel="0" collapsed="false">
      <c r="A28" s="9" t="n">
        <v>24</v>
      </c>
      <c r="B28" s="9" t="s">
        <v>20</v>
      </c>
      <c r="C28" s="10" t="s">
        <v>108</v>
      </c>
      <c r="D28" s="9" t="s">
        <v>109</v>
      </c>
      <c r="E28" s="9" t="s">
        <v>110</v>
      </c>
      <c r="F28" s="9" t="s">
        <v>111</v>
      </c>
    </row>
    <row r="29" customFormat="false" ht="15" hidden="false" customHeight="false" outlineLevel="0" collapsed="false">
      <c r="A29" s="9" t="n">
        <v>25</v>
      </c>
      <c r="B29" s="9" t="s">
        <v>20</v>
      </c>
      <c r="C29" s="10" t="s">
        <v>112</v>
      </c>
      <c r="D29" s="9" t="s">
        <v>113</v>
      </c>
      <c r="E29" s="9" t="s">
        <v>114</v>
      </c>
      <c r="F29" s="9" t="s">
        <v>115</v>
      </c>
    </row>
    <row r="30" customFormat="false" ht="15" hidden="false" customHeight="false" outlineLevel="0" collapsed="false">
      <c r="A30" s="11" t="n">
        <v>26</v>
      </c>
      <c r="B30" s="11" t="s">
        <v>116</v>
      </c>
      <c r="C30" s="12" t="s">
        <v>117</v>
      </c>
      <c r="D30" s="11" t="s">
        <v>118</v>
      </c>
      <c r="E30" s="11" t="s">
        <v>119</v>
      </c>
      <c r="F30" s="11" t="s">
        <v>120</v>
      </c>
    </row>
    <row r="31" customFormat="false" ht="15" hidden="false" customHeight="false" outlineLevel="0" collapsed="false">
      <c r="A31" s="11" t="n">
        <v>27</v>
      </c>
      <c r="B31" s="11" t="s">
        <v>116</v>
      </c>
      <c r="C31" s="12" t="s">
        <v>121</v>
      </c>
      <c r="D31" s="11" t="s">
        <v>122</v>
      </c>
      <c r="E31" s="11" t="s">
        <v>123</v>
      </c>
      <c r="F31" s="11" t="s">
        <v>124</v>
      </c>
    </row>
    <row r="32" customFormat="false" ht="23.85" hidden="false" customHeight="false" outlineLevel="0" collapsed="false">
      <c r="A32" s="11" t="n">
        <v>28</v>
      </c>
      <c r="B32" s="11" t="s">
        <v>116</v>
      </c>
      <c r="C32" s="12" t="s">
        <v>125</v>
      </c>
      <c r="D32" s="11" t="s">
        <v>126</v>
      </c>
      <c r="E32" s="11" t="s">
        <v>127</v>
      </c>
      <c r="F32" s="11" t="s">
        <v>128</v>
      </c>
    </row>
    <row r="33" customFormat="false" ht="15" hidden="false" customHeight="false" outlineLevel="0" collapsed="false">
      <c r="A33" s="11" t="n">
        <v>29</v>
      </c>
      <c r="B33" s="11" t="s">
        <v>116</v>
      </c>
      <c r="C33" s="12" t="s">
        <v>129</v>
      </c>
      <c r="D33" s="11" t="s">
        <v>130</v>
      </c>
      <c r="E33" s="11" t="s">
        <v>131</v>
      </c>
      <c r="F33" s="11" t="s">
        <v>132</v>
      </c>
    </row>
    <row r="34" customFormat="false" ht="15" hidden="false" customHeight="false" outlineLevel="0" collapsed="false">
      <c r="A34" s="11" t="n">
        <v>30</v>
      </c>
      <c r="B34" s="11" t="s">
        <v>116</v>
      </c>
      <c r="C34" s="12" t="s">
        <v>133</v>
      </c>
      <c r="D34" s="11" t="s">
        <v>134</v>
      </c>
      <c r="E34" s="11" t="s">
        <v>135</v>
      </c>
      <c r="F34" s="11" t="s">
        <v>136</v>
      </c>
    </row>
    <row r="35" customFormat="false" ht="23.85" hidden="false" customHeight="false" outlineLevel="0" collapsed="false">
      <c r="A35" s="11" t="n">
        <v>31</v>
      </c>
      <c r="B35" s="11" t="s">
        <v>116</v>
      </c>
      <c r="C35" s="12" t="s">
        <v>137</v>
      </c>
      <c r="D35" s="11" t="s">
        <v>138</v>
      </c>
      <c r="E35" s="11" t="s">
        <v>139</v>
      </c>
      <c r="F35" s="11" t="s">
        <v>140</v>
      </c>
    </row>
    <row r="36" customFormat="false" ht="15" hidden="false" customHeight="false" outlineLevel="0" collapsed="false">
      <c r="A36" s="11" t="n">
        <v>32</v>
      </c>
      <c r="B36" s="11" t="s">
        <v>116</v>
      </c>
      <c r="C36" s="12" t="s">
        <v>141</v>
      </c>
      <c r="D36" s="11" t="s">
        <v>142</v>
      </c>
      <c r="E36" s="11" t="s">
        <v>143</v>
      </c>
      <c r="F36" s="11" t="s">
        <v>144</v>
      </c>
    </row>
    <row r="37" customFormat="false" ht="23.85" hidden="false" customHeight="false" outlineLevel="0" collapsed="false">
      <c r="A37" s="11" t="n">
        <v>33</v>
      </c>
      <c r="B37" s="11" t="s">
        <v>116</v>
      </c>
      <c r="C37" s="12" t="s">
        <v>145</v>
      </c>
      <c r="D37" s="11" t="s">
        <v>146</v>
      </c>
      <c r="E37" s="11" t="s">
        <v>147</v>
      </c>
      <c r="F37" s="11" t="s">
        <v>148</v>
      </c>
    </row>
    <row r="38" customFormat="false" ht="15" hidden="false" customHeight="false" outlineLevel="0" collapsed="false">
      <c r="A38" s="11" t="n">
        <v>34</v>
      </c>
      <c r="B38" s="11" t="s">
        <v>116</v>
      </c>
      <c r="C38" s="12" t="s">
        <v>149</v>
      </c>
      <c r="D38" s="11" t="s">
        <v>150</v>
      </c>
      <c r="E38" s="11" t="s">
        <v>151</v>
      </c>
      <c r="F38" s="11" t="s">
        <v>152</v>
      </c>
    </row>
    <row r="39" customFormat="false" ht="15" hidden="false" customHeight="false" outlineLevel="0" collapsed="false">
      <c r="A39" s="11" t="n">
        <v>35</v>
      </c>
      <c r="B39" s="11" t="s">
        <v>116</v>
      </c>
      <c r="C39" s="12" t="s">
        <v>153</v>
      </c>
      <c r="D39" s="11" t="s">
        <v>154</v>
      </c>
      <c r="E39" s="11" t="s">
        <v>155</v>
      </c>
      <c r="F39" s="11" t="s">
        <v>156</v>
      </c>
    </row>
    <row r="40" customFormat="false" ht="23.85" hidden="false" customHeight="false" outlineLevel="0" collapsed="false">
      <c r="A40" s="9" t="n">
        <v>36</v>
      </c>
      <c r="B40" s="9" t="s">
        <v>157</v>
      </c>
      <c r="C40" s="10" t="s">
        <v>158</v>
      </c>
      <c r="D40" s="9" t="s">
        <v>159</v>
      </c>
      <c r="E40" s="9" t="s">
        <v>160</v>
      </c>
      <c r="F40" s="9" t="s">
        <v>161</v>
      </c>
    </row>
    <row r="41" customFormat="false" ht="23.85" hidden="false" customHeight="false" outlineLevel="0" collapsed="false">
      <c r="A41" s="9" t="n">
        <v>37</v>
      </c>
      <c r="B41" s="9" t="s">
        <v>157</v>
      </c>
      <c r="C41" s="10" t="s">
        <v>162</v>
      </c>
      <c r="D41" s="9" t="s">
        <v>163</v>
      </c>
      <c r="E41" s="9" t="s">
        <v>164</v>
      </c>
      <c r="F41" s="9" t="s">
        <v>165</v>
      </c>
    </row>
    <row r="42" customFormat="false" ht="15" hidden="false" customHeight="false" outlineLevel="0" collapsed="false">
      <c r="A42" s="9" t="n">
        <v>38</v>
      </c>
      <c r="B42" s="9" t="s">
        <v>157</v>
      </c>
      <c r="C42" s="10" t="s">
        <v>166</v>
      </c>
      <c r="D42" s="9" t="s">
        <v>167</v>
      </c>
      <c r="E42" s="9" t="s">
        <v>168</v>
      </c>
      <c r="F42" s="9" t="s">
        <v>161</v>
      </c>
    </row>
    <row r="43" customFormat="false" ht="15" hidden="false" customHeight="false" outlineLevel="0" collapsed="false">
      <c r="A43" s="9" t="n">
        <v>39</v>
      </c>
      <c r="B43" s="9" t="s">
        <v>157</v>
      </c>
      <c r="C43" s="10" t="s">
        <v>169</v>
      </c>
      <c r="D43" s="9" t="s">
        <v>170</v>
      </c>
      <c r="E43" s="9" t="s">
        <v>171</v>
      </c>
      <c r="F43" s="9" t="s">
        <v>172</v>
      </c>
    </row>
    <row r="44" customFormat="false" ht="15" hidden="false" customHeight="false" outlineLevel="0" collapsed="false">
      <c r="A44" s="9" t="n">
        <v>40</v>
      </c>
      <c r="B44" s="9" t="s">
        <v>157</v>
      </c>
      <c r="C44" s="10" t="s">
        <v>173</v>
      </c>
      <c r="D44" s="9" t="s">
        <v>174</v>
      </c>
      <c r="E44" s="9" t="s">
        <v>175</v>
      </c>
      <c r="F44" s="9" t="s">
        <v>176</v>
      </c>
    </row>
    <row r="45" customFormat="false" ht="15" hidden="false" customHeight="false" outlineLevel="0" collapsed="false">
      <c r="A45" s="11" t="n">
        <v>41</v>
      </c>
      <c r="B45" s="11" t="s">
        <v>177</v>
      </c>
      <c r="C45" s="12" t="s">
        <v>178</v>
      </c>
      <c r="D45" s="11" t="s">
        <v>179</v>
      </c>
      <c r="E45" s="11" t="s">
        <v>180</v>
      </c>
      <c r="F45" s="11" t="s">
        <v>181</v>
      </c>
    </row>
    <row r="46" customFormat="false" ht="15" hidden="false" customHeight="false" outlineLevel="0" collapsed="false">
      <c r="A46" s="11" t="n">
        <v>42</v>
      </c>
      <c r="B46" s="11" t="s">
        <v>177</v>
      </c>
      <c r="C46" s="12" t="s">
        <v>182</v>
      </c>
      <c r="D46" s="11" t="s">
        <v>183</v>
      </c>
      <c r="E46" s="11" t="s">
        <v>184</v>
      </c>
      <c r="F46" s="11" t="s">
        <v>185</v>
      </c>
    </row>
    <row r="47" customFormat="false" ht="15" hidden="false" customHeight="false" outlineLevel="0" collapsed="false">
      <c r="A47" s="11" t="n">
        <v>43</v>
      </c>
      <c r="B47" s="11" t="s">
        <v>177</v>
      </c>
      <c r="C47" s="12" t="s">
        <v>186</v>
      </c>
      <c r="D47" s="11" t="s">
        <v>187</v>
      </c>
      <c r="E47" s="11" t="s">
        <v>188</v>
      </c>
      <c r="F47" s="11" t="s">
        <v>189</v>
      </c>
    </row>
    <row r="48" customFormat="false" ht="23.85" hidden="false" customHeight="false" outlineLevel="0" collapsed="false">
      <c r="A48" s="11" t="n">
        <v>44</v>
      </c>
      <c r="B48" s="11" t="s">
        <v>177</v>
      </c>
      <c r="C48" s="12" t="s">
        <v>190</v>
      </c>
      <c r="D48" s="11" t="s">
        <v>191</v>
      </c>
      <c r="E48" s="11" t="s">
        <v>192</v>
      </c>
      <c r="F48" s="11" t="s">
        <v>193</v>
      </c>
    </row>
    <row r="49" customFormat="false" ht="15" hidden="false" customHeight="false" outlineLevel="0" collapsed="false">
      <c r="A49" s="11" t="n">
        <v>45</v>
      </c>
      <c r="B49" s="11" t="s">
        <v>177</v>
      </c>
      <c r="C49" s="12" t="s">
        <v>194</v>
      </c>
      <c r="D49" s="11" t="s">
        <v>195</v>
      </c>
      <c r="E49" s="11" t="s">
        <v>196</v>
      </c>
      <c r="F49" s="11" t="s">
        <v>197</v>
      </c>
    </row>
    <row r="50" customFormat="false" ht="15" hidden="false" customHeight="false" outlineLevel="0" collapsed="false">
      <c r="A50" s="9" t="n">
        <v>46</v>
      </c>
      <c r="B50" s="9" t="s">
        <v>198</v>
      </c>
      <c r="C50" s="10" t="s">
        <v>199</v>
      </c>
      <c r="D50" s="9" t="s">
        <v>200</v>
      </c>
      <c r="E50" s="9" t="s">
        <v>201</v>
      </c>
      <c r="F50" s="9" t="s">
        <v>202</v>
      </c>
    </row>
    <row r="51" customFormat="false" ht="15" hidden="false" customHeight="false" outlineLevel="0" collapsed="false">
      <c r="A51" s="9" t="n">
        <v>47</v>
      </c>
      <c r="B51" s="9" t="s">
        <v>198</v>
      </c>
      <c r="C51" s="10" t="s">
        <v>203</v>
      </c>
      <c r="D51" s="9" t="s">
        <v>204</v>
      </c>
      <c r="E51" s="9" t="s">
        <v>205</v>
      </c>
      <c r="F51" s="9" t="s">
        <v>206</v>
      </c>
    </row>
    <row r="52" customFormat="false" ht="15" hidden="false" customHeight="false" outlineLevel="0" collapsed="false">
      <c r="A52" s="9" t="n">
        <v>48</v>
      </c>
      <c r="B52" s="9" t="s">
        <v>198</v>
      </c>
      <c r="C52" s="10" t="s">
        <v>207</v>
      </c>
      <c r="D52" s="9" t="s">
        <v>208</v>
      </c>
      <c r="E52" s="9" t="s">
        <v>209</v>
      </c>
      <c r="F52" s="9" t="s">
        <v>210</v>
      </c>
    </row>
    <row r="53" customFormat="false" ht="15" hidden="false" customHeight="false" outlineLevel="0" collapsed="false">
      <c r="A53" s="9" t="n">
        <v>49</v>
      </c>
      <c r="B53" s="9" t="s">
        <v>198</v>
      </c>
      <c r="C53" s="10" t="s">
        <v>211</v>
      </c>
      <c r="D53" s="9" t="s">
        <v>212</v>
      </c>
      <c r="E53" s="9" t="s">
        <v>213</v>
      </c>
      <c r="F53" s="9" t="s">
        <v>214</v>
      </c>
    </row>
    <row r="54" customFormat="false" ht="15" hidden="false" customHeight="false" outlineLevel="0" collapsed="false">
      <c r="A54" s="9" t="n">
        <v>50</v>
      </c>
      <c r="B54" s="9" t="s">
        <v>198</v>
      </c>
      <c r="C54" s="10" t="s">
        <v>215</v>
      </c>
      <c r="D54" s="9" t="s">
        <v>216</v>
      </c>
      <c r="E54" s="9" t="s">
        <v>217</v>
      </c>
      <c r="F54" s="9" t="s">
        <v>218</v>
      </c>
    </row>
    <row r="55" customFormat="false" ht="15" hidden="false" customHeight="false" outlineLevel="0" collapsed="false">
      <c r="A55" s="9" t="n">
        <v>51</v>
      </c>
      <c r="B55" s="9" t="s">
        <v>198</v>
      </c>
      <c r="C55" s="10" t="s">
        <v>219</v>
      </c>
      <c r="D55" s="9" t="s">
        <v>220</v>
      </c>
      <c r="E55" s="9" t="s">
        <v>221</v>
      </c>
      <c r="F55" s="9" t="s">
        <v>202</v>
      </c>
    </row>
    <row r="56" customFormat="false" ht="15" hidden="false" customHeight="false" outlineLevel="0" collapsed="false">
      <c r="A56" s="9" t="n">
        <v>52</v>
      </c>
      <c r="B56" s="9" t="s">
        <v>198</v>
      </c>
      <c r="C56" s="10" t="s">
        <v>222</v>
      </c>
      <c r="D56" s="9" t="s">
        <v>223</v>
      </c>
      <c r="E56" s="9" t="s">
        <v>224</v>
      </c>
      <c r="F56" s="9" t="s">
        <v>225</v>
      </c>
    </row>
    <row r="57" customFormat="false" ht="15" hidden="false" customHeight="false" outlineLevel="0" collapsed="false">
      <c r="A57" s="9" t="n">
        <v>53</v>
      </c>
      <c r="B57" s="9" t="s">
        <v>198</v>
      </c>
      <c r="C57" s="10" t="s">
        <v>226</v>
      </c>
      <c r="D57" s="9" t="s">
        <v>227</v>
      </c>
      <c r="E57" s="9" t="s">
        <v>228</v>
      </c>
      <c r="F57" s="9" t="s">
        <v>229</v>
      </c>
    </row>
    <row r="58" customFormat="false" ht="15" hidden="false" customHeight="false" outlineLevel="0" collapsed="false">
      <c r="A58" s="9" t="n">
        <v>54</v>
      </c>
      <c r="B58" s="9" t="s">
        <v>198</v>
      </c>
      <c r="C58" s="10" t="s">
        <v>230</v>
      </c>
      <c r="D58" s="9" t="s">
        <v>231</v>
      </c>
      <c r="E58" s="9" t="s">
        <v>232</v>
      </c>
      <c r="F58" s="9" t="s">
        <v>233</v>
      </c>
    </row>
    <row r="59" customFormat="false" ht="15" hidden="false" customHeight="false" outlineLevel="0" collapsed="false">
      <c r="A59" s="9" t="n">
        <v>55</v>
      </c>
      <c r="B59" s="9" t="s">
        <v>198</v>
      </c>
      <c r="C59" s="10" t="s">
        <v>234</v>
      </c>
      <c r="D59" s="9" t="s">
        <v>235</v>
      </c>
      <c r="E59" s="9" t="s">
        <v>236</v>
      </c>
      <c r="F59" s="9" t="s">
        <v>237</v>
      </c>
    </row>
    <row r="60" customFormat="false" ht="15" hidden="false" customHeight="false" outlineLevel="0" collapsed="false">
      <c r="A60" s="9" t="n">
        <v>56</v>
      </c>
      <c r="B60" s="9" t="s">
        <v>198</v>
      </c>
      <c r="C60" s="10" t="s">
        <v>238</v>
      </c>
      <c r="D60" s="9" t="s">
        <v>239</v>
      </c>
      <c r="E60" s="9" t="s">
        <v>240</v>
      </c>
      <c r="F60" s="9" t="s">
        <v>241</v>
      </c>
    </row>
    <row r="61" customFormat="false" ht="15" hidden="false" customHeight="false" outlineLevel="0" collapsed="false">
      <c r="A61" s="11" t="n">
        <v>57</v>
      </c>
      <c r="B61" s="11" t="s">
        <v>242</v>
      </c>
      <c r="C61" s="12" t="s">
        <v>243</v>
      </c>
      <c r="D61" s="11" t="s">
        <v>244</v>
      </c>
      <c r="E61" s="11" t="s">
        <v>245</v>
      </c>
      <c r="F61" s="11" t="s">
        <v>246</v>
      </c>
    </row>
    <row r="62" customFormat="false" ht="15" hidden="false" customHeight="false" outlineLevel="0" collapsed="false">
      <c r="A62" s="11" t="n">
        <v>58</v>
      </c>
      <c r="B62" s="11" t="s">
        <v>242</v>
      </c>
      <c r="C62" s="12" t="s">
        <v>247</v>
      </c>
      <c r="D62" s="11" t="s">
        <v>248</v>
      </c>
      <c r="E62" s="11" t="s">
        <v>249</v>
      </c>
      <c r="F62" s="11" t="s">
        <v>250</v>
      </c>
    </row>
    <row r="63" customFormat="false" ht="15" hidden="false" customHeight="false" outlineLevel="0" collapsed="false">
      <c r="A63" s="11" t="n">
        <v>59</v>
      </c>
      <c r="B63" s="11" t="s">
        <v>242</v>
      </c>
      <c r="C63" s="12" t="s">
        <v>251</v>
      </c>
      <c r="D63" s="11" t="s">
        <v>252</v>
      </c>
      <c r="E63" s="11" t="s">
        <v>253</v>
      </c>
      <c r="F63" s="11" t="s">
        <v>254</v>
      </c>
    </row>
    <row r="64" customFormat="false" ht="15" hidden="false" customHeight="false" outlineLevel="0" collapsed="false">
      <c r="A64" s="11" t="n">
        <v>60</v>
      </c>
      <c r="B64" s="11" t="s">
        <v>242</v>
      </c>
      <c r="C64" s="12" t="s">
        <v>255</v>
      </c>
      <c r="D64" s="11" t="s">
        <v>256</v>
      </c>
      <c r="E64" s="11" t="s">
        <v>257</v>
      </c>
      <c r="F64" s="11" t="s">
        <v>258</v>
      </c>
    </row>
    <row r="65" customFormat="false" ht="15" hidden="false" customHeight="false" outlineLevel="0" collapsed="false">
      <c r="A65" s="11" t="n">
        <v>61</v>
      </c>
      <c r="B65" s="11" t="s">
        <v>242</v>
      </c>
      <c r="C65" s="12" t="s">
        <v>259</v>
      </c>
      <c r="D65" s="11" t="s">
        <v>260</v>
      </c>
      <c r="E65" s="11" t="s">
        <v>261</v>
      </c>
      <c r="F65" s="11" t="s">
        <v>262</v>
      </c>
    </row>
    <row r="66" customFormat="false" ht="15" hidden="false" customHeight="false" outlineLevel="0" collapsed="false">
      <c r="A66" s="11" t="n">
        <v>62</v>
      </c>
      <c r="B66" s="11" t="s">
        <v>242</v>
      </c>
      <c r="C66" s="12" t="s">
        <v>263</v>
      </c>
      <c r="D66" s="11" t="s">
        <v>264</v>
      </c>
      <c r="E66" s="11" t="s">
        <v>265</v>
      </c>
      <c r="F66" s="11" t="s">
        <v>266</v>
      </c>
    </row>
    <row r="67" customFormat="false" ht="15" hidden="false" customHeight="false" outlineLevel="0" collapsed="false">
      <c r="A67" s="11" t="n">
        <v>63</v>
      </c>
      <c r="B67" s="11" t="s">
        <v>242</v>
      </c>
      <c r="C67" s="12" t="s">
        <v>267</v>
      </c>
      <c r="D67" s="11" t="s">
        <v>268</v>
      </c>
      <c r="E67" s="11" t="s">
        <v>269</v>
      </c>
      <c r="F67" s="11" t="s">
        <v>270</v>
      </c>
    </row>
    <row r="68" customFormat="false" ht="15" hidden="false" customHeight="false" outlineLevel="0" collapsed="false">
      <c r="A68" s="11" t="n">
        <v>64</v>
      </c>
      <c r="B68" s="11" t="s">
        <v>242</v>
      </c>
      <c r="C68" s="12" t="s">
        <v>271</v>
      </c>
      <c r="D68" s="11" t="s">
        <v>272</v>
      </c>
      <c r="E68" s="11" t="s">
        <v>273</v>
      </c>
      <c r="F68" s="11" t="s">
        <v>274</v>
      </c>
    </row>
    <row r="69" customFormat="false" ht="15" hidden="false" customHeight="false" outlineLevel="0" collapsed="false">
      <c r="A69" s="11" t="n">
        <v>65</v>
      </c>
      <c r="B69" s="11" t="s">
        <v>242</v>
      </c>
      <c r="C69" s="12" t="s">
        <v>275</v>
      </c>
      <c r="D69" s="11" t="s">
        <v>276</v>
      </c>
      <c r="E69" s="11" t="s">
        <v>277</v>
      </c>
      <c r="F69" s="11" t="s">
        <v>278</v>
      </c>
    </row>
    <row r="70" customFormat="false" ht="15" hidden="false" customHeight="false" outlineLevel="0" collapsed="false">
      <c r="A70" s="11" t="n">
        <v>66</v>
      </c>
      <c r="B70" s="11" t="s">
        <v>242</v>
      </c>
      <c r="C70" s="12" t="s">
        <v>279</v>
      </c>
      <c r="D70" s="11" t="s">
        <v>280</v>
      </c>
      <c r="E70" s="11" t="s">
        <v>281</v>
      </c>
      <c r="F70" s="11" t="s">
        <v>266</v>
      </c>
    </row>
    <row r="71" customFormat="false" ht="15" hidden="false" customHeight="false" outlineLevel="0" collapsed="false">
      <c r="A71" s="9" t="n">
        <v>67</v>
      </c>
      <c r="B71" s="9" t="s">
        <v>282</v>
      </c>
      <c r="C71" s="10" t="s">
        <v>283</v>
      </c>
      <c r="D71" s="9" t="s">
        <v>284</v>
      </c>
      <c r="E71" s="9" t="s">
        <v>285</v>
      </c>
      <c r="F71" s="9" t="s">
        <v>286</v>
      </c>
    </row>
    <row r="72" customFormat="false" ht="15" hidden="false" customHeight="false" outlineLevel="0" collapsed="false">
      <c r="A72" s="9" t="n">
        <v>68</v>
      </c>
      <c r="B72" s="9" t="s">
        <v>282</v>
      </c>
      <c r="C72" s="10" t="s">
        <v>287</v>
      </c>
      <c r="D72" s="9" t="s">
        <v>288</v>
      </c>
      <c r="E72" s="9" t="s">
        <v>289</v>
      </c>
      <c r="F72" s="9" t="s">
        <v>290</v>
      </c>
    </row>
    <row r="73" customFormat="false" ht="15" hidden="false" customHeight="false" outlineLevel="0" collapsed="false">
      <c r="A73" s="9" t="n">
        <v>69</v>
      </c>
      <c r="B73" s="9" t="s">
        <v>282</v>
      </c>
      <c r="C73" s="10" t="s">
        <v>291</v>
      </c>
      <c r="D73" s="9" t="s">
        <v>292</v>
      </c>
      <c r="E73" s="9" t="s">
        <v>293</v>
      </c>
      <c r="F73" s="9" t="s">
        <v>294</v>
      </c>
    </row>
    <row r="74" customFormat="false" ht="23.85" hidden="false" customHeight="false" outlineLevel="0" collapsed="false">
      <c r="A74" s="9" t="n">
        <v>70</v>
      </c>
      <c r="B74" s="9" t="s">
        <v>282</v>
      </c>
      <c r="C74" s="10" t="s">
        <v>295</v>
      </c>
      <c r="D74" s="9" t="s">
        <v>296</v>
      </c>
      <c r="E74" s="9" t="s">
        <v>297</v>
      </c>
      <c r="F74" s="9" t="s">
        <v>298</v>
      </c>
    </row>
    <row r="75" customFormat="false" ht="23.85" hidden="false" customHeight="false" outlineLevel="0" collapsed="false">
      <c r="A75" s="9" t="n">
        <v>71</v>
      </c>
      <c r="B75" s="9" t="s">
        <v>282</v>
      </c>
      <c r="C75" s="10" t="s">
        <v>299</v>
      </c>
      <c r="D75" s="9" t="s">
        <v>300</v>
      </c>
      <c r="E75" s="9" t="s">
        <v>301</v>
      </c>
      <c r="F75" s="9" t="s">
        <v>302</v>
      </c>
    </row>
    <row r="76" customFormat="false" ht="23.85" hidden="false" customHeight="false" outlineLevel="0" collapsed="false">
      <c r="A76" s="9" t="n">
        <v>72</v>
      </c>
      <c r="B76" s="9" t="s">
        <v>282</v>
      </c>
      <c r="C76" s="10" t="s">
        <v>303</v>
      </c>
      <c r="D76" s="9" t="s">
        <v>304</v>
      </c>
      <c r="E76" s="9" t="s">
        <v>305</v>
      </c>
      <c r="F76" s="9" t="s">
        <v>306</v>
      </c>
    </row>
    <row r="77" customFormat="false" ht="15" hidden="false" customHeight="false" outlineLevel="0" collapsed="false">
      <c r="A77" s="9" t="n">
        <v>73</v>
      </c>
      <c r="B77" s="9" t="s">
        <v>282</v>
      </c>
      <c r="C77" s="10" t="s">
        <v>307</v>
      </c>
      <c r="D77" s="9" t="s">
        <v>308</v>
      </c>
      <c r="E77" s="9" t="s">
        <v>309</v>
      </c>
      <c r="F77" s="9" t="s">
        <v>310</v>
      </c>
    </row>
    <row r="78" customFormat="false" ht="15" hidden="false" customHeight="false" outlineLevel="0" collapsed="false">
      <c r="A78" s="11" t="n">
        <v>74</v>
      </c>
      <c r="B78" s="11" t="s">
        <v>311</v>
      </c>
      <c r="C78" s="12" t="s">
        <v>312</v>
      </c>
      <c r="D78" s="11" t="s">
        <v>313</v>
      </c>
      <c r="E78" s="11" t="s">
        <v>314</v>
      </c>
      <c r="F78" s="11" t="s">
        <v>315</v>
      </c>
    </row>
    <row r="79" customFormat="false" ht="15" hidden="false" customHeight="false" outlineLevel="0" collapsed="false">
      <c r="A79" s="11" t="n">
        <v>75</v>
      </c>
      <c r="B79" s="11" t="s">
        <v>311</v>
      </c>
      <c r="C79" s="12" t="s">
        <v>316</v>
      </c>
      <c r="D79" s="11" t="s">
        <v>317</v>
      </c>
      <c r="E79" s="11" t="s">
        <v>318</v>
      </c>
      <c r="F79" s="11" t="s">
        <v>319</v>
      </c>
    </row>
    <row r="80" customFormat="false" ht="15" hidden="false" customHeight="false" outlineLevel="0" collapsed="false">
      <c r="A80" s="11" t="n">
        <v>76</v>
      </c>
      <c r="B80" s="11" t="s">
        <v>311</v>
      </c>
      <c r="C80" s="12" t="s">
        <v>320</v>
      </c>
      <c r="D80" s="11" t="s">
        <v>321</v>
      </c>
      <c r="E80" s="11" t="s">
        <v>322</v>
      </c>
      <c r="F80" s="11" t="s">
        <v>323</v>
      </c>
    </row>
    <row r="81" customFormat="false" ht="23.85" hidden="false" customHeight="false" outlineLevel="0" collapsed="false">
      <c r="A81" s="9" t="n">
        <v>77</v>
      </c>
      <c r="B81" s="9" t="s">
        <v>324</v>
      </c>
      <c r="C81" s="10" t="s">
        <v>325</v>
      </c>
      <c r="D81" s="9" t="s">
        <v>326</v>
      </c>
      <c r="E81" s="9" t="s">
        <v>327</v>
      </c>
      <c r="F81" s="9" t="s">
        <v>328</v>
      </c>
    </row>
    <row r="82" customFormat="false" ht="15" hidden="false" customHeight="false" outlineLevel="0" collapsed="false">
      <c r="A82" s="9" t="n">
        <v>78</v>
      </c>
      <c r="B82" s="9" t="s">
        <v>324</v>
      </c>
      <c r="C82" s="10" t="s">
        <v>329</v>
      </c>
      <c r="D82" s="9" t="s">
        <v>330</v>
      </c>
      <c r="E82" s="9" t="s">
        <v>331</v>
      </c>
      <c r="F82" s="9" t="s">
        <v>332</v>
      </c>
    </row>
    <row r="83" customFormat="false" ht="15" hidden="false" customHeight="false" outlineLevel="0" collapsed="false">
      <c r="A83" s="9" t="n">
        <v>79</v>
      </c>
      <c r="B83" s="9" t="s">
        <v>324</v>
      </c>
      <c r="C83" s="10" t="s">
        <v>333</v>
      </c>
      <c r="D83" s="9" t="s">
        <v>334</v>
      </c>
      <c r="E83" s="9" t="s">
        <v>335</v>
      </c>
      <c r="F83" s="9" t="s">
        <v>64</v>
      </c>
    </row>
  </sheetData>
  <autoFilter ref="A4:F8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2026-10-15T13:44:51Z</dcterms:created>
  <dc:creator>openpyxl</dc:creator>
  <dc:description/>
  <dc:language>en-US</dc:language>
  <cp:lastModifiedBy/>
  <dcterms:modified xsi:type="dcterms:W3CDTF">2026-10-15T13:44:51Z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