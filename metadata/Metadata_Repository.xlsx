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lumns" sheetId="2" state="visible" r:id="rId4"/>
    <sheet name="Tables" sheetId="3" state="visible" r:id="rId5"/>
    <sheet name="Known issues" sheetId="4" state="visible" r:id="rId6"/>
  </sheets>
  <definedNames>
    <definedName function="false" hidden="true" localSheetId="1" name="_xlnm._FilterDatabase" vbProcedure="false">Columns!$A$4:$K$145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<sst xmlns="http://schemas.openxmlformats.org/spreadsheetml/2006/main" count="1209" uniqueCount="633">
  <si>
    <t xml:space="preserve">UC15 ERP Data Platform: Metadata repository</t>
  </si>
  <si>
    <t xml:space="preserve">Purpose</t>
  </si>
  <si>
    <t xml:space="preserve">One place that describes the warehouse: every table and column, what it means, what values it holds, where it comes from, and what is known to be wrong with it.</t>
  </si>
  <si>
    <t xml:space="preserve">Sheets</t>
  </si>
  <si>
    <t xml:space="preserve">Tables: the 15 tables.   Columns: all 141 columns.   Known issues: data problems recorded against the metadata.</t>
  </si>
  <si>
    <t xml:space="preserve">Also stored in the database</t>
  </si>
  <si>
    <t xml:space="preserve">The same descriptions are stored as comments inside PostgreSQL (sql/09_metadata_comments.sql). pgAdmin shows them, and the view vw_metadata_columns lists them with SQL.</t>
  </si>
  <si>
    <t xml:space="preserve">How it was produced</t>
  </si>
  <si>
    <t xml:space="preserve">Structure from the table definitions; observed values, ranges and counts measured on the loaded warehouse; sources from metadata/Source_to_Target_Mapping.xlsx; descriptions written from the column names, the data and standard ERP meaning.</t>
  </si>
  <si>
    <t xml:space="preserve">Please confirm</t>
  </si>
  <si>
    <t xml:space="preserve">Descriptions that depend on business meaning the source does not state (for example the unit of processing time) say so. Confirm them with the data owner before relying on them.</t>
  </si>
  <si>
    <t xml:space="preserve">Related files</t>
  </si>
  <si>
    <t xml:space="preserve">metadata/Source_to_Target_Mapping.xlsx, metadata/ERP_Business_Glossary.xlsx, docs/Data_Quality_Report.md</t>
  </si>
  <si>
    <t xml:space="preserve">Checks</t>
  </si>
  <si>
    <t xml:space="preserve">Tables described</t>
  </si>
  <si>
    <t xml:space="preserve">Columns described</t>
  </si>
  <si>
    <t xml:space="preserve">Columns counted per table</t>
  </si>
  <si>
    <t xml:space="preserve">Columns without a description</t>
  </si>
  <si>
    <t xml:space="preserve">Counts agree?</t>
  </si>
  <si>
    <t xml:space="preserve">Columns: business and technical metadata for every column of the warehouse</t>
  </si>
  <si>
    <t xml:space="preserve">Observed values and counts were measured on the loaded warehouse (uc15_dw). Descriptions come from the column name, the data and standard ERP usage; confirm with the data owner.</t>
  </si>
  <si>
    <t xml:space="preserve">#</t>
  </si>
  <si>
    <t xml:space="preserve">Table</t>
  </si>
  <si>
    <t xml:space="preserve">Column</t>
  </si>
  <si>
    <t xml:space="preserve">Data type</t>
  </si>
  <si>
    <t xml:space="preserve">Key / constraint</t>
  </si>
  <si>
    <t xml:space="preserve">Description</t>
  </si>
  <si>
    <t xml:space="preserve">Observed values or range</t>
  </si>
  <si>
    <t xml:space="preserve">Distinct values</t>
  </si>
  <si>
    <t xml:space="preserve">Empty values</t>
  </si>
  <si>
    <t xml:space="preserve">Source (raw file &gt; column)</t>
  </si>
  <si>
    <t xml:space="preserve">Pentaho transformation</t>
  </si>
  <si>
    <t xml:space="preserve">DimMonth</t>
  </si>
  <si>
    <t xml:space="preserve">month_key</t>
  </si>
  <si>
    <t xml:space="preserve">SMALLINT</t>
  </si>
  <si>
    <t xml:space="preserve">PK</t>
  </si>
  <si>
    <t xml:space="preserve">Month number, 1 to 12. Primary key. Used for the monthly demand, because that data has no year.</t>
  </si>
  <si>
    <t xml:space="preserve">1 to 12</t>
  </si>
  <si>
    <t xml:space="preserve">(generated)</t>
  </si>
  <si>
    <t xml:space="preserve">Load DimMonth.ktr</t>
  </si>
  <si>
    <t xml:space="preserve">month_name</t>
  </si>
  <si>
    <t xml:space="preserve">VARCHAR(15)</t>
  </si>
  <si>
    <t xml:space="preserve">Not null</t>
  </si>
  <si>
    <t xml:space="preserve">Month name in English.</t>
  </si>
  <si>
    <t xml:space="preserve">March (1); September (1); May (1); August (1); December (1); April (1); July (1); November (1); June (1); February (1); January (1); October (1)</t>
  </si>
  <si>
    <t xml:space="preserve">DimDate</t>
  </si>
  <si>
    <t xml:space="preserve">date_key</t>
  </si>
  <si>
    <t xml:space="preserve">INT</t>
  </si>
  <si>
    <t xml:space="preserve">The date written as a whole number YYYYMMDD (for example 20231124). Primary key; the fact tables join to it.</t>
  </si>
  <si>
    <t xml:space="preserve">20,110,101 to 20,271,231</t>
  </si>
  <si>
    <t xml:space="preserve">Load DimDate.ktr</t>
  </si>
  <si>
    <t xml:space="preserve">full_date</t>
  </si>
  <si>
    <t xml:space="preserve">DATE</t>
  </si>
  <si>
    <t xml:space="preserve">The calendar date.</t>
  </si>
  <si>
    <t xml:space="preserve">2011-01-01 to 2027-12-31</t>
  </si>
  <si>
    <t xml:space="preserve">year</t>
  </si>
  <si>
    <t xml:space="preserve">Calendar year.</t>
  </si>
  <si>
    <t xml:space="preserve">2,011 to 2,027</t>
  </si>
  <si>
    <t xml:space="preserve">quarter</t>
  </si>
  <si>
    <t xml:space="preserve">Calendar quarter, 1 to 4.</t>
  </si>
  <si>
    <t xml:space="preserve">1 to 4</t>
  </si>
  <si>
    <t xml:space="preserve">month</t>
  </si>
  <si>
    <t xml:space="preserve">Month number, 1 to 12.</t>
  </si>
  <si>
    <t xml:space="preserve">October (527); March (527); December (527); July (527); January (527); May (527); August (527); June (510); September (510); April (510); November (510); February (480)</t>
  </si>
  <si>
    <t xml:space="preserve">day</t>
  </si>
  <si>
    <t xml:space="preserve">Day of the month, 1 to 31.</t>
  </si>
  <si>
    <t xml:space="preserve">1 to 31</t>
  </si>
  <si>
    <t xml:space="preserve">day_of_week</t>
  </si>
  <si>
    <t xml:space="preserve">Day of the week: 1 = Monday to 7 = Sunday.</t>
  </si>
  <si>
    <t xml:space="preserve">1 to 7</t>
  </si>
  <si>
    <t xml:space="preserve">day_name</t>
  </si>
  <si>
    <t xml:space="preserve">Weekday name in English.</t>
  </si>
  <si>
    <t xml:space="preserve">Tuesday (887); Saturday (887); Friday (887); Thursday (887); Wednesday (887); Sunday (887); Monday (887)</t>
  </si>
  <si>
    <t xml:space="preserve">is_weekend</t>
  </si>
  <si>
    <t xml:space="preserve">BOOLEAN</t>
  </si>
  <si>
    <t xml:space="preserve">True for Saturday and Sunday.</t>
  </si>
  <si>
    <t xml:space="preserve">false (4,435); true (1,774)</t>
  </si>
  <si>
    <t xml:space="preserve">week_of_year</t>
  </si>
  <si>
    <t xml:space="preserve">ISO week number of the year, 1 to 53.</t>
  </si>
  <si>
    <t xml:space="preserve">1 to 53</t>
  </si>
  <si>
    <t xml:space="preserve">DimEmployee</t>
  </si>
  <si>
    <t xml:space="preserve">employee_key</t>
  </si>
  <si>
    <t xml:space="preserve">SERIAL</t>
  </si>
  <si>
    <t xml:space="preserve">Surrogate key: a sequence number generated by PostgreSQL. The source has no employee ID.</t>
  </si>
  <si>
    <t xml:space="preserve">1 to 35</t>
  </si>
  <si>
    <t xml:space="preserve">Load DimEmployee.ktr</t>
  </si>
  <si>
    <t xml:space="preserve">first_name</t>
  </si>
  <si>
    <t xml:space="preserve">VARCHAR(100)</t>
  </si>
  <si>
    <t xml:space="preserve">Employee first name.</t>
  </si>
  <si>
    <t xml:space="preserve">datasets/employee_data.xls &gt; First Name</t>
  </si>
  <si>
    <t xml:space="preserve">last_name</t>
  </si>
  <si>
    <t xml:space="preserve">Employee last name.</t>
  </si>
  <si>
    <t xml:space="preserve">datasets/employee_data.xls &gt; Last Name</t>
  </si>
  <si>
    <t xml:space="preserve">gender</t>
  </si>
  <si>
    <t xml:space="preserve">VARCHAR(20)</t>
  </si>
  <si>
    <t xml:space="preserve">Female or Male.</t>
  </si>
  <si>
    <t xml:space="preserve">Male (20); Female (15)</t>
  </si>
  <si>
    <t xml:space="preserve">datasets/employee_data.xls &gt; Gender</t>
  </si>
  <si>
    <t xml:space="preserve">age</t>
  </si>
  <si>
    <t xml:space="preserve">Age in years.</t>
  </si>
  <si>
    <t xml:space="preserve">25 to 52</t>
  </si>
  <si>
    <t xml:space="preserve">datasets/employee_data.xls &gt; Age</t>
  </si>
  <si>
    <t xml:space="preserve">salary</t>
  </si>
  <si>
    <t xml:space="preserve">NUMERIC(12,2)</t>
  </si>
  <si>
    <t xml:space="preserve">Salary (currency amount). Equals expenditure plus savings in every row.</t>
  </si>
  <si>
    <t xml:space="preserve">24,100 to 80,000</t>
  </si>
  <si>
    <t xml:space="preserve">datasets/employee_data.xls &gt; Salary</t>
  </si>
  <si>
    <t xml:space="preserve">expenditure</t>
  </si>
  <si>
    <t xml:space="preserve">Amount spent out of the salary.</t>
  </si>
  <si>
    <t xml:space="preserve">20,000 to 65,000</t>
  </si>
  <si>
    <t xml:space="preserve">datasets/employee_data.xls &gt; Expenditure</t>
  </si>
  <si>
    <t xml:space="preserve">savings</t>
  </si>
  <si>
    <t xml:space="preserve">Amount saved out of the salary.</t>
  </si>
  <si>
    <t xml:space="preserve">1,000 to 15,000</t>
  </si>
  <si>
    <t xml:space="preserve">datasets/employee_data.xls &gt; Savings</t>
  </si>
  <si>
    <t xml:space="preserve">expenditure_percentage</t>
  </si>
  <si>
    <t xml:space="preserve">NUMERIC(6,4)</t>
  </si>
  <si>
    <t xml:space="preserve">Expenditure divided by salary, as a fraction between 0 and 1.</t>
  </si>
  <si>
    <t xml:space="preserve">0.6286 to 0.9804</t>
  </si>
  <si>
    <t xml:space="preserve">datasets/employee_data.xls &gt; Expenditure Percentage</t>
  </si>
  <si>
    <t xml:space="preserve">savings_percentage</t>
  </si>
  <si>
    <t xml:space="preserve">Savings divided by salary, as a fraction between 0 and 1.</t>
  </si>
  <si>
    <t xml:space="preserve">0.0196 to 0.3714</t>
  </si>
  <si>
    <t xml:space="preserve">datasets/employee_data.xls &gt; Savings Percentage</t>
  </si>
  <si>
    <t xml:space="preserve">DimAsset</t>
  </si>
  <si>
    <t xml:space="preserve">asset_key</t>
  </si>
  <si>
    <t xml:space="preserve">Surrogate key: a sequence number generated by PostgreSQL.</t>
  </si>
  <si>
    <t xml:space="preserve">1 to 1,245</t>
  </si>
  <si>
    <t xml:space="preserve">Load DimAsset.ktr</t>
  </si>
  <si>
    <t xml:space="preserve">asset_id</t>
  </si>
  <si>
    <t xml:space="preserve">Unique, Not null</t>
  </si>
  <si>
    <t xml:space="preserve">Asset code in the asset file.</t>
  </si>
  <si>
    <t xml:space="preserve">datasets/Asset_data.xml &gt; asset_id</t>
  </si>
  <si>
    <t xml:space="preserve">location</t>
  </si>
  <si>
    <t xml:space="preserve">Site of the asset: SiteA, SiteB, ZoneX or ZoneY.</t>
  </si>
  <si>
    <t xml:space="preserve">ZoneY (334); SiteB (317); ZoneX (307); SiteA (287)</t>
  </si>
  <si>
    <t xml:space="preserve">datasets/Asset_data.xml &gt; location</t>
  </si>
  <si>
    <t xml:space="preserve">install_year</t>
  </si>
  <si>
    <t xml:space="preserve">Year the asset was installed.</t>
  </si>
  <si>
    <t xml:space="preserve">2,000 to 2,023</t>
  </si>
  <si>
    <t xml:space="preserve">datasets/Asset_data.xml &gt; install_year</t>
  </si>
  <si>
    <t xml:space="preserve">last_maintenance_year</t>
  </si>
  <si>
    <t xml:space="preserve">Year of the last maintenance.</t>
  </si>
  <si>
    <t xml:space="preserve">2,000 to 2,025</t>
  </si>
  <si>
    <t xml:space="preserve">datasets/Asset_data.xml &gt; last_maintenance_year</t>
  </si>
  <si>
    <t xml:space="preserve">usage_hours_per_month</t>
  </si>
  <si>
    <t xml:space="preserve">NUMERIC(10,2)</t>
  </si>
  <si>
    <t xml:space="preserve">Average hours the asset is used per month.</t>
  </si>
  <si>
    <t xml:space="preserve">17.21 to 197.62</t>
  </si>
  <si>
    <t xml:space="preserve">datasets/Asset_data.xml &gt; usage_hours_per_month</t>
  </si>
  <si>
    <t xml:space="preserve">failure_count</t>
  </si>
  <si>
    <t xml:space="preserve">Number of failures recorded for the asset.</t>
  </si>
  <si>
    <t xml:space="preserve">0 to 9</t>
  </si>
  <si>
    <t xml:space="preserve">datasets/Asset_data.xml &gt; failure_count</t>
  </si>
  <si>
    <t xml:space="preserve">condition_score</t>
  </si>
  <si>
    <t xml:space="preserve">Condition score between 0 and 1, as given in the source (the source does not say whether higher is better).</t>
  </si>
  <si>
    <t xml:space="preserve">0.0037 to 0.9951</t>
  </si>
  <si>
    <t xml:space="preserve">datasets/Asset_data.xml &gt; condition_score</t>
  </si>
  <si>
    <t xml:space="preserve">maintenance_cost_last_year</t>
  </si>
  <si>
    <t xml:space="preserve">Maintenance cost over the last year (currency amount).</t>
  </si>
  <si>
    <t xml:space="preserve">201.18 to 1,999.03</t>
  </si>
  <si>
    <t xml:space="preserve">datasets/Asset_data.xml &gt; maintenance_cost_last_year</t>
  </si>
  <si>
    <t xml:space="preserve">asset_type</t>
  </si>
  <si>
    <t xml:space="preserve">VARCHAR(50)</t>
  </si>
  <si>
    <t xml:space="preserve">Sensor, Transformer or Meter.</t>
  </si>
  <si>
    <t xml:space="preserve">Sensor (424); Transformer (421); Meter (400)</t>
  </si>
  <si>
    <t xml:space="preserve">datasets/Asset_data.xml &gt; asset_type</t>
  </si>
  <si>
    <t xml:space="preserve">operational_state</t>
  </si>
  <si>
    <t xml:space="preserve">VARCHAR(30)</t>
  </si>
  <si>
    <t xml:space="preserve">Active, Degraded or Obsolete. 68% of the assets are Obsolete.</t>
  </si>
  <si>
    <t xml:space="preserve">Obsolete (842); Degraded (381); Active (22)</t>
  </si>
  <si>
    <t xml:space="preserve">datasets/Asset_data.xml &gt; operational_state</t>
  </si>
  <si>
    <t xml:space="preserve">disposal_decision</t>
  </si>
  <si>
    <t xml:space="preserve">Planned action for the asset: Recycle, Discard, Sell or Retain.</t>
  </si>
  <si>
    <t xml:space="preserve">Recycle (493); Discard (269); Sell (269); Retain (214)</t>
  </si>
  <si>
    <t xml:space="preserve">datasets/Asset_data.xml &gt; disposal_decision</t>
  </si>
  <si>
    <t xml:space="preserve">DimSupplier</t>
  </si>
  <si>
    <t xml:space="preserve">supplier_key</t>
  </si>
  <si>
    <t xml:space="preserve">1 to 10</t>
  </si>
  <si>
    <t xml:space="preserve">Load DimSupplier.ktr</t>
  </si>
  <si>
    <t xml:space="preserve">supplier_id</t>
  </si>
  <si>
    <t xml:space="preserve">Supplier code, SUP001 to SUP010. The only stable attribute of a supplier: names vary (Finding 4).</t>
  </si>
  <si>
    <t xml:space="preserve">SUP009 (1); SUP010 (1); SUP007 (1); SUP004 (1); SUP008 (1); SUP002 (1); SUP001 (1); SUP005 (1); SUP003 (1); SUP006 (1)</t>
  </si>
  <si>
    <t xml:space="preserve">datasets/procurement_all.csv &gt; supplier_id</t>
  </si>
  <si>
    <t xml:space="preserve">DimCustomerMaster</t>
  </si>
  <si>
    <t xml:space="preserve">customer_key</t>
  </si>
  <si>
    <t xml:space="preserve">1 to 1,500</t>
  </si>
  <si>
    <t xml:space="preserve">Load DimCustomerMaster.ktr</t>
  </si>
  <si>
    <t xml:space="preserve">customer_id</t>
  </si>
  <si>
    <t xml:space="preserve">Customer code in the customer master (for example 5001). Does not match the customer IDs in Sales or Accounts (Finding 1).</t>
  </si>
  <si>
    <t xml:space="preserve">datasets/Customer_Master.json &gt; customer_id</t>
  </si>
  <si>
    <t xml:space="preserve">customer_name</t>
  </si>
  <si>
    <t xml:space="preserve">VARCHAR(150)</t>
  </si>
  <si>
    <t xml:space="preserve">Customer name.</t>
  </si>
  <si>
    <t xml:space="preserve">datasets/Customer_Master.json &gt; customer_name</t>
  </si>
  <si>
    <t xml:space="preserve">email</t>
  </si>
  <si>
    <t xml:space="preserve">Email address, taken from the contact JSON of the cleaned file.</t>
  </si>
  <si>
    <t xml:space="preserve">datasets/Customer_Master.json &gt; contact (nested JSON)</t>
  </si>
  <si>
    <t xml:space="preserve">phone</t>
  </si>
  <si>
    <t xml:space="preserve">Phone number, taken from the contact JSON.</t>
  </si>
  <si>
    <t xml:space="preserve">city</t>
  </si>
  <si>
    <t xml:space="preserve">City, taken from the address JSON.</t>
  </si>
  <si>
    <t xml:space="preserve">Jaipur (142); Coimbatore (140); Hyderabad (132); Kolkata (129); Ahmedabad (127); Bengaluru (122); Chennai (121); Mumbai (120); Delhi (120); Vellore (118); Kochi (115); Pune (114)</t>
  </si>
  <si>
    <t xml:space="preserve">datasets/Customer_Master.json &gt; address (nested JSON)</t>
  </si>
  <si>
    <t xml:space="preserve">state</t>
  </si>
  <si>
    <t xml:space="preserve">State, taken from the address JSON.</t>
  </si>
  <si>
    <t xml:space="preserve">Tamil Nadu (379); Maharashtra (234); Rajasthan (142); Telangana (132); West Bengal (129); Gujarat (127); Karnataka (122); Delhi (120); Kerala (115)</t>
  </si>
  <si>
    <t xml:space="preserve">country</t>
  </si>
  <si>
    <t xml:space="preserve">Country, taken from the address JSON. India for every customer.</t>
  </si>
  <si>
    <t xml:space="preserve">India (1,500)</t>
  </si>
  <si>
    <t xml:space="preserve">customer_type</t>
  </si>
  <si>
    <t xml:space="preserve">Wholesale, Retail, Individual or Corporate.</t>
  </si>
  <si>
    <t xml:space="preserve">Wholesale (411); Retail (378); Individual (362); Corporate (349)</t>
  </si>
  <si>
    <t xml:space="preserve">datasets/Customer_Master.json &gt; customer_type</t>
  </si>
  <si>
    <t xml:space="preserve">registration_date</t>
  </si>
  <si>
    <t xml:space="preserve">Date the customer registered. Some dates are in the future (Finding 10).</t>
  </si>
  <si>
    <t xml:space="preserve">2018-01-01 to 2026-12-26</t>
  </si>
  <si>
    <t xml:space="preserve">datasets/Customer_Master.json &gt; registration_date</t>
  </si>
  <si>
    <t xml:space="preserve">credit_limit</t>
  </si>
  <si>
    <t xml:space="preserve">NUMERIC(14,2)</t>
  </si>
  <si>
    <t xml:space="preserve">Credit limit granted to the customer (currency amount).</t>
  </si>
  <si>
    <t xml:space="preserve">25,944.94 to 998,979.58</t>
  </si>
  <si>
    <t xml:space="preserve">datasets/Customer_Master.json &gt; credit_limit</t>
  </si>
  <si>
    <t xml:space="preserve">customer_status</t>
  </si>
  <si>
    <t xml:space="preserve">Active or Inactive.</t>
  </si>
  <si>
    <t xml:space="preserve">Active (1,393); Inactive (107)</t>
  </si>
  <si>
    <t xml:space="preserve">datasets/Customer_Master.json &gt; customer_status</t>
  </si>
  <si>
    <t xml:space="preserve">DimItemInventory</t>
  </si>
  <si>
    <t xml:space="preserve">item_key</t>
  </si>
  <si>
    <t xml:space="preserve">1 to 1,000</t>
  </si>
  <si>
    <t xml:space="preserve">Load DimItemInventory.ktr</t>
  </si>
  <si>
    <t xml:space="preserve">item_id</t>
  </si>
  <si>
    <t xml:space="preserve">Item code in the inventory file (ITM_001 and so on). Does not match the Warehouse item codes (Finding 2).</t>
  </si>
  <si>
    <t xml:space="preserve">datasets/Inventory_data.json &gt; Item_ID</t>
  </si>
  <si>
    <t xml:space="preserve">item_name</t>
  </si>
  <si>
    <t xml:space="preserve">Item name.</t>
  </si>
  <si>
    <t xml:space="preserve">datasets/Inventory_data.json &gt; Item_Name</t>
  </si>
  <si>
    <t xml:space="preserve">category</t>
  </si>
  <si>
    <t xml:space="preserve">Grocery, Apparel, Electronics, Home &amp; Kitchen or Toys.</t>
  </si>
  <si>
    <t xml:space="preserve">Grocery (402); Apparel (216); Electronics (193); Home &amp; Kitchen (100); Toys (89)</t>
  </si>
  <si>
    <t xml:space="preserve">datasets/Inventory_data.json &gt; Category</t>
  </si>
  <si>
    <t xml:space="preserve">price_per_unit</t>
  </si>
  <si>
    <t xml:space="preserve">Price of one unit (currency amount).</t>
  </si>
  <si>
    <t xml:space="preserve">2 to 1,000</t>
  </si>
  <si>
    <t xml:space="preserve">datasets/Inventory_data.json &gt; Price_Per_Unit</t>
  </si>
  <si>
    <t xml:space="preserve">DimWarehouseItem</t>
  </si>
  <si>
    <t xml:space="preserve">warehouse_item_key</t>
  </si>
  <si>
    <t xml:space="preserve">1 to 3,204</t>
  </si>
  <si>
    <t xml:space="preserve">Load DimWarehouseItem.ktr</t>
  </si>
  <si>
    <t xml:space="preserve">Item code in the warehouse file (ITM10000 and so on). Does not match the Inventory item codes (Finding 2).</t>
  </si>
  <si>
    <t xml:space="preserve">datasets/warehouse.csv &gt; item_id</t>
  </si>
  <si>
    <t xml:space="preserve">Pharma, Automotive, Electronics, Grocery or Apparel.</t>
  </si>
  <si>
    <t xml:space="preserve">Pharma (660); Automotive (658); Electronics (651); Grocery (618); Apparel (617)</t>
  </si>
  <si>
    <t xml:space="preserve">datasets/warehouse.csv &gt; category</t>
  </si>
  <si>
    <t xml:space="preserve">storage_location_id</t>
  </si>
  <si>
    <t xml:space="preserve">Code of the storage location.</t>
  </si>
  <si>
    <t xml:space="preserve">datasets/warehouse.csv &gt; storage_location_id</t>
  </si>
  <si>
    <t xml:space="preserve">zone</t>
  </si>
  <si>
    <t xml:space="preserve">Warehouse zone: A, B, C or D.</t>
  </si>
  <si>
    <t xml:space="preserve">D (833); A (812); B (784); C (775)</t>
  </si>
  <si>
    <t xml:space="preserve">datasets/warehouse.csv &gt; zone</t>
  </si>
  <si>
    <t xml:space="preserve">FactSales</t>
  </si>
  <si>
    <t xml:space="preserve">sales_key</t>
  </si>
  <si>
    <t xml:space="preserve">Load FactSales.ktr</t>
  </si>
  <si>
    <t xml:space="preserve">transaction_id</t>
  </si>
  <si>
    <t xml:space="preserve">Business ID of the sales transaction, 1 to 1000. Not the same thing as the Finance transaction ID.</t>
  </si>
  <si>
    <t xml:space="preserve">datasets/Sales_data.csv &gt; Transaction ID</t>
  </si>
  <si>
    <t xml:space="preserve">Not null, FK to DimDate.date_key</t>
  </si>
  <si>
    <t xml:space="preserve">Date of the sale (YYYYMMDD). Joins to DimDate.</t>
  </si>
  <si>
    <t xml:space="preserve">20,230,101 to 20,240,101</t>
  </si>
  <si>
    <t xml:space="preserve">datasets/Sales_data.csv &gt; Date</t>
  </si>
  <si>
    <t xml:space="preserve">Customer code as written in the sales file (for example CUST001). Does not match any other module (Finding 1).</t>
  </si>
  <si>
    <t xml:space="preserve">datasets/Sales_data.csv &gt; Customer ID</t>
  </si>
  <si>
    <t xml:space="preserve">Gender of the customer: Female or Male.</t>
  </si>
  <si>
    <t xml:space="preserve">Female (510); Male (490)</t>
  </si>
  <si>
    <t xml:space="preserve">datasets/Sales_data.csv &gt; Gender</t>
  </si>
  <si>
    <t xml:space="preserve">Age of the customer in years.</t>
  </si>
  <si>
    <t xml:space="preserve">18 to 64</t>
  </si>
  <si>
    <t xml:space="preserve">datasets/Sales_data.csv &gt; Age</t>
  </si>
  <si>
    <t xml:space="preserve">product_category</t>
  </si>
  <si>
    <t xml:space="preserve">Beauty, Clothing or Electronics. There is no product master.</t>
  </si>
  <si>
    <t xml:space="preserve">Clothing (351); Electronics (342); Beauty (307)</t>
  </si>
  <si>
    <t xml:space="preserve">datasets/Sales_data.csv &gt; Product Category</t>
  </si>
  <si>
    <t xml:space="preserve">quantity</t>
  </si>
  <si>
    <t xml:space="preserve">Number of units sold, 1 to 4.</t>
  </si>
  <si>
    <t xml:space="preserve">datasets/Sales_data.csv &gt; Quantity</t>
  </si>
  <si>
    <t xml:space="preserve">25 to 500</t>
  </si>
  <si>
    <t xml:space="preserve">datasets/Sales_data.csv &gt; Price per Unit</t>
  </si>
  <si>
    <t xml:space="preserve">total_amount</t>
  </si>
  <si>
    <t xml:space="preserve">Total value of the sale. Equals quantity times price per unit in every row.</t>
  </si>
  <si>
    <t xml:space="preserve">25 to 2,000</t>
  </si>
  <si>
    <t xml:space="preserve">datasets/Sales_data.csv &gt; Total Amount</t>
  </si>
  <si>
    <t xml:space="preserve">daily_percent_change</t>
  </si>
  <si>
    <t xml:space="preserve">NUMERIC(10,6)</t>
  </si>
  <si>
    <t xml:space="preserve">Percentage change as supplied in the source file; the source does not define the base. Empty for 1 record (Finding 10).</t>
  </si>
  <si>
    <t xml:space="preserve">-98.75 to 7,900</t>
  </si>
  <si>
    <t xml:space="preserve">datasets/Sales_data.csv &gt; Daily Percent Change</t>
  </si>
  <si>
    <t xml:space="preserve">FactFinance</t>
  </si>
  <si>
    <t xml:space="preserve">finance_key</t>
  </si>
  <si>
    <t xml:space="preserve">Load FactFinance.ktr</t>
  </si>
  <si>
    <t xml:space="preserve">Business ID of the finance transaction, 1 to 1000. Not the same thing as the Sales transaction ID.</t>
  </si>
  <si>
    <t xml:space="preserve">datasets/Finance_data.csv &gt; Transaction ID</t>
  </si>
  <si>
    <t xml:space="preserve">Date of the transaction (YYYYMMDD). Joins to DimDate.</t>
  </si>
  <si>
    <t xml:space="preserve">20,250,101 to 20,270,927</t>
  </si>
  <si>
    <t xml:space="preserve">datasets/Finance_data.csv &gt; Date</t>
  </si>
  <si>
    <t xml:space="preserve">account_type</t>
  </si>
  <si>
    <t xml:space="preserve">Asset, Liability, Revenue or Expense.</t>
  </si>
  <si>
    <t xml:space="preserve">Expense (257); Asset (255); Liability (250); Revenue (238)</t>
  </si>
  <si>
    <t xml:space="preserve">datasets/Finance_data.csv &gt; Account Type</t>
  </si>
  <si>
    <t xml:space="preserve">transaction_amount</t>
  </si>
  <si>
    <t xml:space="preserve">Amount of the transaction (currency amount).</t>
  </si>
  <si>
    <t xml:space="preserve">106 to 4,998</t>
  </si>
  <si>
    <t xml:space="preserve">datasets/Finance_data.csv &gt; Transaction Amount</t>
  </si>
  <si>
    <t xml:space="preserve">cash_flow</t>
  </si>
  <si>
    <t xml:space="preserve">Cash flow amount.</t>
  </si>
  <si>
    <t xml:space="preserve">502 to 4,496</t>
  </si>
  <si>
    <t xml:space="preserve">datasets/Finance_data.csv &gt; Cash Flow</t>
  </si>
  <si>
    <t xml:space="preserve">net_income</t>
  </si>
  <si>
    <t xml:space="preserve">Net income as given in the source. It does not equal revenue minus expenditure in this data (Finding 12).</t>
  </si>
  <si>
    <t xml:space="preserve">203 to 3,995</t>
  </si>
  <si>
    <t xml:space="preserve">datasets/Finance_data.csv &gt; Net Income</t>
  </si>
  <si>
    <t xml:space="preserve">revenue</t>
  </si>
  <si>
    <t xml:space="preserve">Revenue amount.</t>
  </si>
  <si>
    <t xml:space="preserve">303 to 4,997</t>
  </si>
  <si>
    <t xml:space="preserve">datasets/Finance_data.csv &gt; Revenue</t>
  </si>
  <si>
    <t xml:space="preserve">Expenditure amount.</t>
  </si>
  <si>
    <t xml:space="preserve">100 to 3,998</t>
  </si>
  <si>
    <t xml:space="preserve">datasets/Finance_data.csv &gt; Expenditure</t>
  </si>
  <si>
    <t xml:space="preserve">profit_margin</t>
  </si>
  <si>
    <t xml:space="preserve">NUMERIC(8,4)</t>
  </si>
  <si>
    <t xml:space="preserve">Profit margin as a fraction between 0.20 and 0.80, as given. It does not equal net income divided by revenue in this data (Finding 12).</t>
  </si>
  <si>
    <t xml:space="preserve">0.2014 to 0.7984</t>
  </si>
  <si>
    <t xml:space="preserve">datasets/Finance_data.csv &gt; Profit Margin</t>
  </si>
  <si>
    <t xml:space="preserve">gross_profit</t>
  </si>
  <si>
    <t xml:space="preserve">Gross profit as given in the source (Finding 12).</t>
  </si>
  <si>
    <t xml:space="preserve">101 to 3,995</t>
  </si>
  <si>
    <t xml:space="preserve">datasets/Finance_data.csv &gt; Gross Profit</t>
  </si>
  <si>
    <t xml:space="preserve">transaction_volume</t>
  </si>
  <si>
    <t xml:space="preserve">Volume indicator of the transaction, 1 to 9.</t>
  </si>
  <si>
    <t xml:space="preserve">1 to 9</t>
  </si>
  <si>
    <t xml:space="preserve">datasets/Finance_data.csv &gt; Transaction Volume</t>
  </si>
  <si>
    <t xml:space="preserve">accuracy_score</t>
  </si>
  <si>
    <t xml:space="preserve">Score between 0.80 and 1.00 as given in the source; the source does not define it.</t>
  </si>
  <si>
    <t xml:space="preserve">0.8006 to 0.9999</t>
  </si>
  <si>
    <t xml:space="preserve">datasets/Finance_data.csv &gt; Accuracy Score</t>
  </si>
  <si>
    <t xml:space="preserve">FactManufacturing</t>
  </si>
  <si>
    <t xml:space="preserve">job_key</t>
  </si>
  <si>
    <t xml:space="preserve">Load FactManufacturing.ktr</t>
  </si>
  <si>
    <t xml:space="preserve">job_id</t>
  </si>
  <si>
    <t xml:space="preserve">Production job code.</t>
  </si>
  <si>
    <t xml:space="preserve">datasets/Manufacturing_data.xml &gt; Job_ID</t>
  </si>
  <si>
    <t xml:space="preserve">scheduled_start_date_key</t>
  </si>
  <si>
    <t xml:space="preserve">Date the job was scheduled to start (YYYYMMDD). Joins to DimDate.</t>
  </si>
  <si>
    <t xml:space="preserve">20,230,318 to 20,230,325</t>
  </si>
  <si>
    <t xml:space="preserve">datasets/Manufacturing_data.xml &gt; Scheduled_Start</t>
  </si>
  <si>
    <t xml:space="preserve">actual_start_date_key</t>
  </si>
  <si>
    <t xml:space="preserve">FK to DimDate.date_key</t>
  </si>
  <si>
    <t xml:space="preserve">Date the job actually started. Empty for the 129 Failed jobs, and only for them (Finding 6).</t>
  </si>
  <si>
    <t xml:space="preserve">datasets/Manufacturing_data.xml &gt; Actual_Start</t>
  </si>
  <si>
    <t xml:space="preserve">machine_id</t>
  </si>
  <si>
    <t xml:space="preserve">Machine that ran the job, M01 to M05.</t>
  </si>
  <si>
    <t xml:space="preserve">M01 (212); M02 (210); M04 (199); M05 (193); M03 (186)</t>
  </si>
  <si>
    <t xml:space="preserve">datasets/Manufacturing_data.xml &gt; Machine_ID</t>
  </si>
  <si>
    <t xml:space="preserve">operation_type</t>
  </si>
  <si>
    <t xml:space="preserve">Lathe, Grinding, Milling, Additive or Drilling.</t>
  </si>
  <si>
    <t xml:space="preserve">Lathe (212); Grinding (208); Milling (201); Additive (190); Drilling (189)</t>
  </si>
  <si>
    <t xml:space="preserve">datasets/Manufacturing_data.xml &gt; Operation_Type</t>
  </si>
  <si>
    <t xml:space="preserve">job_status</t>
  </si>
  <si>
    <t xml:space="preserve">Completed, Delayed or Failed.</t>
  </si>
  <si>
    <t xml:space="preserve">Completed (673); Delayed (198); Failed (129)</t>
  </si>
  <si>
    <t xml:space="preserve">datasets/Manufacturing_data.xml &gt; Job_Status</t>
  </si>
  <si>
    <t xml:space="preserve">optimization_category</t>
  </si>
  <si>
    <t xml:space="preserve">Efficiency band: Low, Moderate, High or Optimal Efficiency. 65% of jobs are Low Efficiency.</t>
  </si>
  <si>
    <t xml:space="preserve">Low Efficiency (650); Moderate Efficiency (183); High Efficiency (161); Optimal Efficiency (6)</t>
  </si>
  <si>
    <t xml:space="preserve">datasets/Manufacturing_data.xml &gt; Optimization_Category</t>
  </si>
  <si>
    <t xml:space="preserve">material_used</t>
  </si>
  <si>
    <t xml:space="preserve">Material used by the job (unit not given in the source).</t>
  </si>
  <si>
    <t xml:space="preserve">1.01 to 5</t>
  </si>
  <si>
    <t xml:space="preserve">datasets/Manufacturing_data.xml &gt; Material_Used</t>
  </si>
  <si>
    <t xml:space="preserve">processing_time</t>
  </si>
  <si>
    <t xml:space="preserve">Processing time of the job, 20 to 120 (unit not given in the source).</t>
  </si>
  <si>
    <t xml:space="preserve">20 to 120</t>
  </si>
  <si>
    <t xml:space="preserve">datasets/Manufacturing_data.xml &gt; Processing_Time</t>
  </si>
  <si>
    <t xml:space="preserve">energy_consumption</t>
  </si>
  <si>
    <t xml:space="preserve">Energy used by the job (unit not given in the source).</t>
  </si>
  <si>
    <t xml:space="preserve">2.01 to 14.98</t>
  </si>
  <si>
    <t xml:space="preserve">datasets/Manufacturing_data.xml &gt; Energy_Consumption</t>
  </si>
  <si>
    <t xml:space="preserve">machine_availability</t>
  </si>
  <si>
    <t xml:space="preserve">NUMERIC(6,2)</t>
  </si>
  <si>
    <t xml:space="preserve">Machine availability, 80 to 99 (looks like a percentage).</t>
  </si>
  <si>
    <t xml:space="preserve">80 to 99</t>
  </si>
  <si>
    <t xml:space="preserve">datasets/Manufacturing_data.xml &gt; Machine_Availability</t>
  </si>
  <si>
    <t xml:space="preserve">FactAccountsReceivable</t>
  </si>
  <si>
    <t xml:space="preserve">ar_key</t>
  </si>
  <si>
    <t xml:space="preserve">1 to 45,839</t>
  </si>
  <si>
    <t xml:space="preserve">Load FactAccountsReceivable.ktr</t>
  </si>
  <si>
    <t xml:space="preserve">document_no</t>
  </si>
  <si>
    <t xml:space="preserve">Receivable document number (unique).</t>
  </si>
  <si>
    <t xml:space="preserve">datasets/Account_data.xls &gt; Document_No</t>
  </si>
  <si>
    <t xml:space="preserve">doc_date_key</t>
  </si>
  <si>
    <t xml:space="preserve">Date of the document (YYYYMMDD). Joins to DimDate.</t>
  </si>
  <si>
    <t xml:space="preserve">20,111,123 to 20,161,202</t>
  </si>
  <si>
    <t xml:space="preserve">datasets/Account_data.xls &gt; Doc_Date</t>
  </si>
  <si>
    <t xml:space="preserve">net_due_date_key</t>
  </si>
  <si>
    <t xml:space="preserve">Date the payment is due. Earlier than the document date in 25% of rows (Finding 9).</t>
  </si>
  <si>
    <t xml:space="preserve">20,120,521 to 20,161,201</t>
  </si>
  <si>
    <t xml:space="preserve">datasets/Account_data.xls &gt; Net_Due_Date</t>
  </si>
  <si>
    <t xml:space="preserve">clearing_date_key</t>
  </si>
  <si>
    <t xml:space="preserve">Date the payment was cleared. Earlier than the document date in 26% of rows (Finding 9).</t>
  </si>
  <si>
    <t xml:space="preserve">20,150,104 to 20,161,202</t>
  </si>
  <si>
    <t xml:space="preserve">datasets/Account_data.xls &gt; Clearing_date</t>
  </si>
  <si>
    <t xml:space="preserve">cust_num</t>
  </si>
  <si>
    <t xml:space="preserve">Customer number as written in the Accounts file (10 digits). Does not match any other module (Finding 1).</t>
  </si>
  <si>
    <t xml:space="preserve">datasets/Account_data.xls &gt; Cust_Num</t>
  </si>
  <si>
    <t xml:space="preserve">payment_method_description</t>
  </si>
  <si>
    <t xml:space="preserve">Payment method, for example Direct Debits 1 or Wire.</t>
  </si>
  <si>
    <t xml:space="preserve">Direct Debits 2 (24,010); Direct Debits 1 (18,981); No Payment Method (1,308); Regulatory (771); Regulatory 2 (604); Third Part Payments (98); Regulatory 1 (43); Wire (24)</t>
  </si>
  <si>
    <t xml:space="preserve">datasets/Account_data.xls &gt; Payment_Method_description</t>
  </si>
  <si>
    <t xml:space="preserve">region</t>
  </si>
  <si>
    <t xml:space="preserve">Region code, 30 values (for example AA125).</t>
  </si>
  <si>
    <t xml:space="preserve">datasets/Account_data.xls &gt; Region</t>
  </si>
  <si>
    <t xml:space="preserve">City of the customer.</t>
  </si>
  <si>
    <t xml:space="preserve">datasets/Account_data.xls &gt; City</t>
  </si>
  <si>
    <t xml:space="preserve">payment_term</t>
  </si>
  <si>
    <t xml:space="preserve">Payment term code (agreed payment period).</t>
  </si>
  <si>
    <t xml:space="preserve">datasets/Account_data.xls &gt; Payment_Term</t>
  </si>
  <si>
    <t xml:space="preserve">delayflag</t>
  </si>
  <si>
    <t xml:space="preserve">VARCHAR(10)</t>
  </si>
  <si>
    <t xml:space="preserve">1 = flagged as delayed, 0 = not delayed. 65.7% are flagged. Agrees with days overdue above 0 in 87% of rows.</t>
  </si>
  <si>
    <t xml:space="preserve">1 (30,096); 0 (15,743)</t>
  </si>
  <si>
    <t xml:space="preserve">datasets/Account_data.xls &gt; DelayFlag</t>
  </si>
  <si>
    <t xml:space="preserve">amount</t>
  </si>
  <si>
    <t xml:space="preserve">Amount of the document (currency amount).</t>
  </si>
  <si>
    <t xml:space="preserve">2 to 5,709,354</t>
  </si>
  <si>
    <t xml:space="preserve">datasets/Account_data.xls &gt; Amount</t>
  </si>
  <si>
    <t xml:space="preserve">days_overdue_delay</t>
  </si>
  <si>
    <t xml:space="preserve">Days overdue as given in the source; can be negative. Equals clearing date minus due date in only 63% of rows (Finding 9).</t>
  </si>
  <si>
    <t xml:space="preserve">-117 to 1,257</t>
  </si>
  <si>
    <t xml:space="preserve">datasets/Account_data.xls &gt; Days_Overdue_Delay</t>
  </si>
  <si>
    <t xml:space="preserve">no_of_orders_by_customer</t>
  </si>
  <si>
    <t xml:space="preserve">Number of receivable documents recorded for this customer. The same value on every row of the customer.</t>
  </si>
  <si>
    <t xml:space="preserve">1 to 10,219</t>
  </si>
  <si>
    <t xml:space="preserve">datasets/Account_data.xls &gt; No_of_orders_by_customer</t>
  </si>
  <si>
    <t xml:space="preserve">FactProcurement</t>
  </si>
  <si>
    <t xml:space="preserve">procurement_key</t>
  </si>
  <si>
    <t xml:space="preserve">1 to 1,300</t>
  </si>
  <si>
    <t xml:space="preserve">Load FactProcurement.ktr</t>
  </si>
  <si>
    <t xml:space="preserve">purchase_order_id</t>
  </si>
  <si>
    <t xml:space="preserve">Purchase order number (unique).</t>
  </si>
  <si>
    <t xml:space="preserve">datasets/procurement_all.csv &gt; purchase_order_id</t>
  </si>
  <si>
    <t xml:space="preserve">order_date_key</t>
  </si>
  <si>
    <t xml:space="preserve">Date the order was placed (YYYYMMDD). Joins to DimDate.</t>
  </si>
  <si>
    <t xml:space="preserve">20,230,101 to 20,241,230</t>
  </si>
  <si>
    <t xml:space="preserve">datasets/procurement_all.csv &gt; order_date</t>
  </si>
  <si>
    <t xml:space="preserve">expected_delivery_date_key</t>
  </si>
  <si>
    <t xml:space="preserve">Date the delivery is expected (YYYYMMDD). Joins to DimDate.</t>
  </si>
  <si>
    <t xml:space="preserve">20,230,108 to 20,250,125</t>
  </si>
  <si>
    <t xml:space="preserve">datasets/procurement_all.csv &gt; expected_delivery</t>
  </si>
  <si>
    <t xml:space="preserve">Not null, FK to DimSupplier.supplier_key</t>
  </si>
  <si>
    <t xml:space="preserve">The supplier. Joins to DimSupplier.</t>
  </si>
  <si>
    <t xml:space="preserve">supplier_name</t>
  </si>
  <si>
    <t xml:space="preserve">Supplier name as written on the order. The same supplier appears under several names (Finding 4).</t>
  </si>
  <si>
    <t xml:space="preserve">National Electronics (141); Prime Supplies (140); Global Components (138); Metro Distributors (133); ABC Technologies (133); Reliable Systems (127); Apex Industrial (127); Vertex Traders (123); Bluechip Suppliers (119); Smart Source (119)</t>
  </si>
  <si>
    <t xml:space="preserve">datasets/procurement_all.csv &gt; supplier_name</t>
  </si>
  <si>
    <t xml:space="preserve">Item code on the order (for example P109).</t>
  </si>
  <si>
    <t xml:space="preserve">datasets/procurement_all.csv &gt; item_id</t>
  </si>
  <si>
    <t xml:space="preserve">datasets/procurement_all.csv &gt; item_name</t>
  </si>
  <si>
    <t xml:space="preserve">po_status</t>
  </si>
  <si>
    <t xml:space="preserve">Delivered, Ordered, Cancelled or Partially Delivered.</t>
  </si>
  <si>
    <t xml:space="preserve">Delivered (334); Ordered (333); Cancelled (330); Partially Delivered (303)</t>
  </si>
  <si>
    <t xml:space="preserve">datasets/procurement_all.csv &gt; po_status</t>
  </si>
  <si>
    <t xml:space="preserve">Units ordered.</t>
  </si>
  <si>
    <t xml:space="preserve">10 to 150</t>
  </si>
  <si>
    <t xml:space="preserve">datasets/procurement_all.csv &gt; quantity</t>
  </si>
  <si>
    <t xml:space="preserve">unit_cost</t>
  </si>
  <si>
    <t xml:space="preserve">Cost of one unit (currency amount).</t>
  </si>
  <si>
    <t xml:space="preserve">499.51 to 42,412.92</t>
  </si>
  <si>
    <t xml:space="preserve">datasets/procurement_all.csv &gt; unit_cost</t>
  </si>
  <si>
    <t xml:space="preserve">total_cost</t>
  </si>
  <si>
    <t xml:space="preserve">Total cost of the order. Equals quantity times unit cost in every row. Includes cancelled orders (Finding 11).</t>
  </si>
  <si>
    <t xml:space="preserve">5,126.2 to 5,517,748.77</t>
  </si>
  <si>
    <t xml:space="preserve">datasets/procurement_all.csv &gt; total_cost</t>
  </si>
  <si>
    <t xml:space="preserve">FactWarehouseSnapshot</t>
  </si>
  <si>
    <t xml:space="preserve">snapshot_key</t>
  </si>
  <si>
    <t xml:space="preserve">Load FactWarehouseSnapshot.ktr</t>
  </si>
  <si>
    <t xml:space="preserve">Date of the last restock (YYYYMMDD). Joins to DimDate.</t>
  </si>
  <si>
    <t xml:space="preserve">20,240,101 to 20,241,230</t>
  </si>
  <si>
    <t xml:space="preserve">datasets/warehouse.csv &gt; last_restock_date</t>
  </si>
  <si>
    <t xml:space="preserve">Not null, FK to DimWarehouseItem.warehouse_item_key</t>
  </si>
  <si>
    <t xml:space="preserve">The warehouse item. Joins to DimWarehouseItem.</t>
  </si>
  <si>
    <t xml:space="preserve">stock_level</t>
  </si>
  <si>
    <t xml:space="preserve">Units in stock.</t>
  </si>
  <si>
    <t xml:space="preserve">20 to 499</t>
  </si>
  <si>
    <t xml:space="preserve">datasets/warehouse.csv &gt; stock_level</t>
  </si>
  <si>
    <t xml:space="preserve">reorder_point</t>
  </si>
  <si>
    <t xml:space="preserve">Stock level at which the item should be reordered.</t>
  </si>
  <si>
    <t xml:space="preserve">10 to 99</t>
  </si>
  <si>
    <t xml:space="preserve">datasets/warehouse.csv &gt; reorder_point</t>
  </si>
  <si>
    <t xml:space="preserve">lead_time_days</t>
  </si>
  <si>
    <t xml:space="preserve">Days between ordering and receiving the item.</t>
  </si>
  <si>
    <t xml:space="preserve">2 to 9</t>
  </si>
  <si>
    <t xml:space="preserve">datasets/warehouse.csv &gt; lead_time_days</t>
  </si>
  <si>
    <t xml:space="preserve">daily_demand</t>
  </si>
  <si>
    <t xml:space="preserve">Average units demanded per day.</t>
  </si>
  <si>
    <t xml:space="preserve">1.01 to 49.98</t>
  </si>
  <si>
    <t xml:space="preserve">datasets/warehouse.csv &gt; daily_demand</t>
  </si>
  <si>
    <t xml:space="preserve">picking_time_seconds</t>
  </si>
  <si>
    <t xml:space="preserve">Time to pick the item, in seconds.</t>
  </si>
  <si>
    <t xml:space="preserve">10 to 179</t>
  </si>
  <si>
    <t xml:space="preserve">datasets/warehouse.csv &gt; picking_time_seconds</t>
  </si>
  <si>
    <t xml:space="preserve">handling_cost_per_unit</t>
  </si>
  <si>
    <t xml:space="preserve">Cost of handling one unit.</t>
  </si>
  <si>
    <t xml:space="preserve">0.5 to 5</t>
  </si>
  <si>
    <t xml:space="preserve">datasets/warehouse.csv &gt; handling_cost_per_unit</t>
  </si>
  <si>
    <t xml:space="preserve">unit_price</t>
  </si>
  <si>
    <t xml:space="preserve">Price of one unit.</t>
  </si>
  <si>
    <t xml:space="preserve">10.22 to 200</t>
  </si>
  <si>
    <t xml:space="preserve">datasets/warehouse.csv &gt; unit_price</t>
  </si>
  <si>
    <t xml:space="preserve">holding_cost_per_unit_day</t>
  </si>
  <si>
    <t xml:space="preserve">NUMERIC(10,4)</t>
  </si>
  <si>
    <t xml:space="preserve">Cost of keeping one unit in stock for one day.</t>
  </si>
  <si>
    <t xml:space="preserve">0.1 to 2</t>
  </si>
  <si>
    <t xml:space="preserve">datasets/warehouse.csv &gt; holding_cost_per_unit_day</t>
  </si>
  <si>
    <t xml:space="preserve">stockout_count_last_month</t>
  </si>
  <si>
    <t xml:space="preserve">Number of stockouts in the last month.</t>
  </si>
  <si>
    <t xml:space="preserve">datasets/warehouse.csv &gt; stockout_count_last_month</t>
  </si>
  <si>
    <t xml:space="preserve">order_fulfillment_rate</t>
  </si>
  <si>
    <t xml:space="preserve">Share of orders fulfilled, as a fraction between 0.7 and 1.0.</t>
  </si>
  <si>
    <t xml:space="preserve">0.7 to 1</t>
  </si>
  <si>
    <t xml:space="preserve">datasets/warehouse.csv &gt; order_fulfillment_rate</t>
  </si>
  <si>
    <t xml:space="preserve">total_orders_last_month</t>
  </si>
  <si>
    <t xml:space="preserve">Number of orders in the last month.</t>
  </si>
  <si>
    <t xml:space="preserve">50 to 999</t>
  </si>
  <si>
    <t xml:space="preserve">datasets/warehouse.csv &gt; total_orders_last_month</t>
  </si>
  <si>
    <t xml:space="preserve">turnover_ratio</t>
  </si>
  <si>
    <t xml:space="preserve">How many times the stock is sold and replaced, 1 to 15.</t>
  </si>
  <si>
    <t xml:space="preserve">1 to 15</t>
  </si>
  <si>
    <t xml:space="preserve">datasets/warehouse.csv &gt; turnover_ratio</t>
  </si>
  <si>
    <t xml:space="preserve">forecasted_demand_next_7d</t>
  </si>
  <si>
    <t xml:space="preserve">Forecast of the units demanded in the next 7 days.</t>
  </si>
  <si>
    <t xml:space="preserve">10.09 to 299.94</t>
  </si>
  <si>
    <t xml:space="preserve">datasets/warehouse.csv &gt; forecasted_demand_next_7d</t>
  </si>
  <si>
    <t xml:space="preserve">kpi_score</t>
  </si>
  <si>
    <t xml:space="preserve">Performance score between 0.26 and 0.94 as given in the source; the formula is not given.</t>
  </si>
  <si>
    <t xml:space="preserve">0.259 to 0.936</t>
  </si>
  <si>
    <t xml:space="preserve">datasets/warehouse.csv &gt; kpi_score</t>
  </si>
  <si>
    <t xml:space="preserve">FactInventoryDemand</t>
  </si>
  <si>
    <t xml:space="preserve">PK, FK to DimItemInventory.item_key</t>
  </si>
  <si>
    <t xml:space="preserve">The inventory item. Joins to DimItemInventory.</t>
  </si>
  <si>
    <t xml:space="preserve">Load FactInventoryDemand.ktr</t>
  </si>
  <si>
    <t xml:space="preserve">PK, FK to DimMonth.month_key</t>
  </si>
  <si>
    <t xml:space="preserve">The month, 1 to 12. Joins to DimMonth.</t>
  </si>
  <si>
    <t xml:space="preserve">units_demanded</t>
  </si>
  <si>
    <t xml:space="preserve">Units demanded in that month. Comes from one of the 12 monthly demand columns of the inventory file.</t>
  </si>
  <si>
    <t xml:space="preserve">2 to 5,504</t>
  </si>
  <si>
    <t xml:space="preserve">datasets/Inventory_data.json &gt; Jan_Demand ... Dec_Demand</t>
  </si>
  <si>
    <t xml:space="preserve">Tables: the 15 warehouse tables</t>
  </si>
  <si>
    <t xml:space="preserve">Rows loaded are confirmed by sql/05_reconciliation_checks.sql. Columns is a formula that counts the Columns sheet.</t>
  </si>
  <si>
    <t xml:space="preserve">Type</t>
  </si>
  <si>
    <t xml:space="preserve">Primary key</t>
  </si>
  <si>
    <t xml:space="preserve">Rows loaded</t>
  </si>
  <si>
    <t xml:space="preserve">Columns</t>
  </si>
  <si>
    <t xml:space="preserve">Refreshed by</t>
  </si>
  <si>
    <t xml:space="preserve">Dimension</t>
  </si>
  <si>
    <t xml:space="preserve">The 12 months of the year, for seasonal demand.</t>
  </si>
  <si>
    <t xml:space="preserve">Pentaho job ETL_Load_Warehouse (full reload)</t>
  </si>
  <si>
    <t xml:space="preserve">Calendar of every day from 2011-01-01 to 2027-12-31. The only dimension shared by several facts.</t>
  </si>
  <si>
    <t xml:space="preserve">Employees with salary, expenditure and savings.</t>
  </si>
  <si>
    <t xml:space="preserve">Equipment assets with condition, failures, maintenance cost and disposal decision.</t>
  </si>
  <si>
    <t xml:space="preserve">Suppliers, identified by supplier ID only.</t>
  </si>
  <si>
    <t xml:space="preserve">Customers with contact details, address, type, status and credit limit.</t>
  </si>
  <si>
    <t xml:space="preserve">Items in the inventory module.</t>
  </si>
  <si>
    <t xml:space="preserve">Items in the warehouse module, with category and zone.</t>
  </si>
  <si>
    <t xml:space="preserve">Fact</t>
  </si>
  <si>
    <t xml:space="preserve">Sales transactions. One row per transaction.</t>
  </si>
  <si>
    <t xml:space="preserve">Finance transactions. One row per transaction.</t>
  </si>
  <si>
    <t xml:space="preserve">Production jobs. One row per job.</t>
  </si>
  <si>
    <t xml:space="preserve">Accounts receivable documents. One row per document.</t>
  </si>
  <si>
    <t xml:space="preserve">Purchase orders. One row per order.</t>
  </si>
  <si>
    <t xml:space="preserve">Stock position of each warehouse item. One row per item.</t>
  </si>
  <si>
    <t xml:space="preserve">Monthly demand of each inventory item. One row per item and month.</t>
  </si>
  <si>
    <t xml:space="preserve">item_key, month_key</t>
  </si>
  <si>
    <t xml:space="preserve">Total</t>
  </si>
  <si>
    <t xml:space="preserve">Known data issues recorded against the metadata</t>
  </si>
  <si>
    <t xml:space="preserve">Each row points to a finding in docs/Data_Quality_Report.md. These are limits of the source data, not errors in the pipeline.</t>
  </si>
  <si>
    <t xml:space="preserve">Issue</t>
  </si>
  <si>
    <t xml:space="preserve">Finding</t>
  </si>
  <si>
    <t xml:space="preserve">How it is handled</t>
  </si>
  <si>
    <t xml:space="preserve">Customer IDs do not match the Customer Master or Accounts IDs.</t>
  </si>
  <si>
    <t xml:space="preserve">Finding 1</t>
  </si>
  <si>
    <t xml:space="preserve">Kept as a plain column, not a foreign key.</t>
  </si>
  <si>
    <t xml:space="preserve">Customer numbers do not match the Customer Master or Sales IDs.</t>
  </si>
  <si>
    <t xml:space="preserve">DimItemInventory / DimWarehouseItem</t>
  </si>
  <si>
    <t xml:space="preserve">Item codes in Inventory and Warehouse share no values.</t>
  </si>
  <si>
    <t xml:space="preserve">Finding 2</t>
  </si>
  <si>
    <t xml:space="preserve">Two separate item dimensions.</t>
  </si>
  <si>
    <t xml:space="preserve">DimDate and the fact tables</t>
  </si>
  <si>
    <t xml:space="preserve">Modules cover different years (2011 to 2016, 2023 to 2024, 2025 to 2027).</t>
  </si>
  <si>
    <t xml:space="preserve">Finding 3</t>
  </si>
  <si>
    <t xml:space="preserve">DimDate spans 2011 to 2027; cross-module comparisons only where periods overlap.</t>
  </si>
  <si>
    <t xml:space="preserve">Every supplier appears under several names.</t>
  </si>
  <si>
    <t xml:space="preserve">Finding 4</t>
  </si>
  <si>
    <t xml:space="preserve">DimSupplier holds the ID only; the name stays on the order.</t>
  </si>
  <si>
    <t xml:space="preserve">Finance has no link to Sales or Procurement.</t>
  </si>
  <si>
    <t xml:space="preserve">Finding 5</t>
  </si>
  <si>
    <t xml:space="preserve">No reconciliation is possible between these modules.</t>
  </si>
  <si>
    <t xml:space="preserve">Empty for 129 jobs, exactly the Failed jobs. Expected, not an error.</t>
  </si>
  <si>
    <t xml:space="preserve">Finding 6</t>
  </si>
  <si>
    <t xml:space="preserve">Column allows empty values.</t>
  </si>
  <si>
    <t xml:space="preserve">(no ID)</t>
  </si>
  <si>
    <t xml:space="preserve">The source has no employee ID.</t>
  </si>
  <si>
    <t xml:space="preserve">Finding 7</t>
  </si>
  <si>
    <t xml:space="preserve">Generated surrogate key only.</t>
  </si>
  <si>
    <t xml:space="preserve">net_due_date_key, clearing_date_key</t>
  </si>
  <si>
    <t xml:space="preserve">Dates out of order for about a quarter of the documents.</t>
  </si>
  <si>
    <t xml:space="preserve">Finding 9</t>
  </si>
  <si>
    <t xml:space="preserve">Kept and flagged; aging results are indicative only.</t>
  </si>
  <si>
    <t xml:space="preserve">days_overdue_delay, delayflag</t>
  </si>
  <si>
    <t xml:space="preserve">days_overdue_delay equals clearing date minus due date in only 63% of rows; delayflag agrees with days overdue above 0 in 87%.</t>
  </si>
  <si>
    <t xml:space="preserve">Kept as given; use with the date caveat.</t>
  </si>
  <si>
    <t xml:space="preserve">Some registration dates are in the future.</t>
  </si>
  <si>
    <t xml:space="preserve">Finding 10</t>
  </si>
  <si>
    <t xml:space="preserve">Kept as given.</t>
  </si>
  <si>
    <t xml:space="preserve">One empty value (the first record).</t>
  </si>
  <si>
    <t xml:space="preserve">Allowed to be empty.</t>
  </si>
  <si>
    <t xml:space="preserve">total_cost, po_status</t>
  </si>
  <si>
    <t xml:space="preserve">Cancelled orders carry 25.1% of the total cost.</t>
  </si>
  <si>
    <t xml:space="preserve">Finding 11</t>
  </si>
  <si>
    <t xml:space="preserve">Spend reports should exclude Cancelled orders.</t>
  </si>
  <si>
    <t xml:space="preserve">net_income, gross_profit, profit_margin</t>
  </si>
  <si>
    <t xml:space="preserve">The usual accounting relationships do not hold: net income is not revenue minus expenditure in any row, and profit margin is not net income divided by revenue in 998 of 1,000 rows.</t>
  </si>
  <si>
    <t xml:space="preserve">Finding 12</t>
  </si>
  <si>
    <t xml:space="preserve">Kept as given; do not recompute one measure from another.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</si>
</sst>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4424D"/>
        <bgColor rgb="FF003366"/>
      </patternFill>
    </fill>
    <fill>
      <patternFill patternType="solid">
        <fgColor rgb="FFF3F5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AE0"/>
      </left>
      <right style="thin">
        <color rgb="FFD5DAE0"/>
      </right>
      <top style="thin">
        <color rgb="FFD5DAE0"/>
      </top>
      <bottom style="thin">
        <color rgb="FFD5DA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4424D"/>
          <bgColor rgb="FF000000"/>
        </patternFill>
      </fill>
    </dxf>
    <dxf>
      <fill>
        <patternFill patternType="solid">
          <fgColor rgb="FFF3F5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5F7"/>
      <rgbColor rgb="FFCCFFFF"/>
      <rgbColor rgb="FF660066"/>
      <rgbColor rgb="FFFF8080"/>
      <rgbColor rgb="FF0066CC"/>
      <rgbColor rgb="FFD5DA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42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6" customFormat="false" ht="35.05" hidden="false" customHeight="false" outlineLevel="0" collapsed="false">
      <c r="A6" s="2" t="s">
        <v>7</v>
      </c>
      <c r="B6" s="3" t="s">
        <v>8</v>
      </c>
    </row>
    <row r="7" customFormat="false" ht="23.8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10" customFormat="false" ht="15" hidden="false" customHeight="false" outlineLevel="0" collapsed="false">
      <c r="A10" s="4" t="s">
        <v>13</v>
      </c>
    </row>
    <row r="11" customFormat="false" ht="15" hidden="false" customHeight="false" outlineLevel="0" collapsed="false">
      <c r="A11" s="5" t="s">
        <v>14</v>
      </c>
      <c r="B11" s="6" t="n">
        <f aca="false">COUNTA(Tables!B5:B19)</f>
        <v>15</v>
      </c>
    </row>
    <row r="12" customFormat="false" ht="15" hidden="false" customHeight="false" outlineLevel="0" collapsed="false">
      <c r="A12" s="5" t="s">
        <v>15</v>
      </c>
      <c r="B12" s="6" t="n">
        <f aca="false">COUNTA(Columns!C5:C145)</f>
        <v>141</v>
      </c>
    </row>
    <row r="13" customFormat="false" ht="15" hidden="false" customHeight="false" outlineLevel="0" collapsed="false">
      <c r="A13" s="5" t="s">
        <v>16</v>
      </c>
      <c r="B13" s="7" t="n">
        <f aca="false">Tables!G20</f>
        <v>141</v>
      </c>
    </row>
    <row r="14" customFormat="false" ht="15" hidden="false" customHeight="false" outlineLevel="0" collapsed="false">
      <c r="A14" s="5" t="s">
        <v>17</v>
      </c>
      <c r="B14" s="6" t="n">
        <f aca="false">COUNTBLANK(Columns!F5:F145)</f>
        <v>0</v>
      </c>
    </row>
    <row r="15" customFormat="false" ht="15" hidden="false" customHeight="false" outlineLevel="0" collapsed="false">
      <c r="A15" s="5" t="s">
        <v>18</v>
      </c>
      <c r="B15" s="6" t="str">
        <f aca="false">IF(AND(B12=B13,B14=0),"Yes","CHECK")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70"/>
    <col collapsed="false" customWidth="true" hidden="false" outlineLevel="0" max="7" min="7" style="0" width="48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40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8" t="s">
        <v>19</v>
      </c>
    </row>
    <row r="2" customFormat="false" ht="15" hidden="false" customHeight="false" outlineLevel="0" collapsed="false">
      <c r="A2" s="9" t="s">
        <v>20</v>
      </c>
    </row>
    <row r="4" customFormat="false" ht="30" hidden="false" customHeight="true" outlineLevel="0" collapsed="false">
      <c r="A4" s="10" t="s">
        <v>21</v>
      </c>
      <c r="B4" s="10" t="s">
        <v>22</v>
      </c>
      <c r="C4" s="10" t="s">
        <v>23</v>
      </c>
      <c r="D4" s="10" t="s">
        <v>24</v>
      </c>
      <c r="E4" s="10" t="s">
        <v>25</v>
      </c>
      <c r="F4" s="10" t="s">
        <v>26</v>
      </c>
      <c r="G4" s="10" t="s">
        <v>27</v>
      </c>
      <c r="H4" s="10" t="s">
        <v>28</v>
      </c>
      <c r="I4" s="10" t="s">
        <v>29</v>
      </c>
      <c r="J4" s="10" t="s">
        <v>30</v>
      </c>
      <c r="K4" s="10" t="s">
        <v>31</v>
      </c>
    </row>
    <row r="5" customFormat="false" ht="23.85" hidden="false" customHeight="false" outlineLevel="0" collapsed="false">
      <c r="A5" s="11" t="n">
        <v>1</v>
      </c>
      <c r="B5" s="12" t="s">
        <v>32</v>
      </c>
      <c r="C5" s="12" t="s">
        <v>33</v>
      </c>
      <c r="D5" s="11" t="s">
        <v>34</v>
      </c>
      <c r="E5" s="11" t="s">
        <v>35</v>
      </c>
      <c r="F5" s="11" t="s">
        <v>36</v>
      </c>
      <c r="G5" s="11" t="s">
        <v>37</v>
      </c>
      <c r="H5" s="13" t="n">
        <v>12</v>
      </c>
      <c r="I5" s="13" t="n">
        <v>0</v>
      </c>
      <c r="J5" s="11" t="s">
        <v>38</v>
      </c>
      <c r="K5" s="11" t="s">
        <v>39</v>
      </c>
    </row>
    <row r="6" customFormat="false" ht="35.05" hidden="false" customHeight="false" outlineLevel="0" collapsed="false">
      <c r="A6" s="11" t="n">
        <v>2</v>
      </c>
      <c r="B6" s="12" t="s">
        <v>32</v>
      </c>
      <c r="C6" s="12" t="s">
        <v>40</v>
      </c>
      <c r="D6" s="11" t="s">
        <v>41</v>
      </c>
      <c r="E6" s="11" t="s">
        <v>42</v>
      </c>
      <c r="F6" s="11" t="s">
        <v>43</v>
      </c>
      <c r="G6" s="11" t="s">
        <v>44</v>
      </c>
      <c r="H6" s="13" t="n">
        <v>12</v>
      </c>
      <c r="I6" s="13" t="n">
        <v>0</v>
      </c>
      <c r="J6" s="11" t="s">
        <v>38</v>
      </c>
      <c r="K6" s="11" t="s">
        <v>39</v>
      </c>
    </row>
    <row r="7" customFormat="false" ht="23.85" hidden="false" customHeight="false" outlineLevel="0" collapsed="false">
      <c r="A7" s="14" t="n">
        <v>3</v>
      </c>
      <c r="B7" s="15" t="s">
        <v>45</v>
      </c>
      <c r="C7" s="15" t="s">
        <v>46</v>
      </c>
      <c r="D7" s="14" t="s">
        <v>47</v>
      </c>
      <c r="E7" s="14" t="s">
        <v>35</v>
      </c>
      <c r="F7" s="14" t="s">
        <v>48</v>
      </c>
      <c r="G7" s="14" t="s">
        <v>49</v>
      </c>
      <c r="H7" s="16" t="n">
        <v>6209</v>
      </c>
      <c r="I7" s="16" t="n">
        <v>0</v>
      </c>
      <c r="J7" s="14" t="s">
        <v>38</v>
      </c>
      <c r="K7" s="14" t="s">
        <v>50</v>
      </c>
    </row>
    <row r="8" customFormat="false" ht="15" hidden="false" customHeight="false" outlineLevel="0" collapsed="false">
      <c r="A8" s="14" t="n">
        <v>4</v>
      </c>
      <c r="B8" s="15" t="s">
        <v>45</v>
      </c>
      <c r="C8" s="15" t="s">
        <v>51</v>
      </c>
      <c r="D8" s="14" t="s">
        <v>52</v>
      </c>
      <c r="E8" s="14" t="s">
        <v>42</v>
      </c>
      <c r="F8" s="14" t="s">
        <v>53</v>
      </c>
      <c r="G8" s="14" t="s">
        <v>54</v>
      </c>
      <c r="H8" s="16" t="n">
        <v>6209</v>
      </c>
      <c r="I8" s="16" t="n">
        <v>0</v>
      </c>
      <c r="J8" s="14" t="s">
        <v>38</v>
      </c>
      <c r="K8" s="14" t="s">
        <v>50</v>
      </c>
    </row>
    <row r="9" customFormat="false" ht="15" hidden="false" customHeight="false" outlineLevel="0" collapsed="false">
      <c r="A9" s="14" t="n">
        <v>5</v>
      </c>
      <c r="B9" s="15" t="s">
        <v>45</v>
      </c>
      <c r="C9" s="15" t="s">
        <v>55</v>
      </c>
      <c r="D9" s="14" t="s">
        <v>34</v>
      </c>
      <c r="E9" s="14" t="s">
        <v>42</v>
      </c>
      <c r="F9" s="14" t="s">
        <v>56</v>
      </c>
      <c r="G9" s="14" t="s">
        <v>57</v>
      </c>
      <c r="H9" s="16" t="n">
        <v>17</v>
      </c>
      <c r="I9" s="16" t="n">
        <v>0</v>
      </c>
      <c r="J9" s="14" t="s">
        <v>38</v>
      </c>
      <c r="K9" s="14" t="s">
        <v>50</v>
      </c>
    </row>
    <row r="10" customFormat="false" ht="15" hidden="false" customHeight="false" outlineLevel="0" collapsed="false">
      <c r="A10" s="14" t="n">
        <v>6</v>
      </c>
      <c r="B10" s="15" t="s">
        <v>45</v>
      </c>
      <c r="C10" s="15" t="s">
        <v>58</v>
      </c>
      <c r="D10" s="14" t="s">
        <v>34</v>
      </c>
      <c r="E10" s="14" t="s">
        <v>42</v>
      </c>
      <c r="F10" s="14" t="s">
        <v>59</v>
      </c>
      <c r="G10" s="14" t="s">
        <v>60</v>
      </c>
      <c r="H10" s="16" t="n">
        <v>4</v>
      </c>
      <c r="I10" s="16" t="n">
        <v>0</v>
      </c>
      <c r="J10" s="14" t="s">
        <v>38</v>
      </c>
      <c r="K10" s="14" t="s">
        <v>50</v>
      </c>
    </row>
    <row r="11" customFormat="false" ht="15" hidden="false" customHeight="false" outlineLevel="0" collapsed="false">
      <c r="A11" s="14" t="n">
        <v>7</v>
      </c>
      <c r="B11" s="15" t="s">
        <v>45</v>
      </c>
      <c r="C11" s="15" t="s">
        <v>61</v>
      </c>
      <c r="D11" s="14" t="s">
        <v>34</v>
      </c>
      <c r="E11" s="14" t="s">
        <v>42</v>
      </c>
      <c r="F11" s="14" t="s">
        <v>62</v>
      </c>
      <c r="G11" s="14" t="s">
        <v>37</v>
      </c>
      <c r="H11" s="16" t="n">
        <v>12</v>
      </c>
      <c r="I11" s="16" t="n">
        <v>0</v>
      </c>
      <c r="J11" s="14" t="s">
        <v>38</v>
      </c>
      <c r="K11" s="14" t="s">
        <v>50</v>
      </c>
    </row>
    <row r="12" customFormat="false" ht="46.25" hidden="false" customHeight="false" outlineLevel="0" collapsed="false">
      <c r="A12" s="14" t="n">
        <v>8</v>
      </c>
      <c r="B12" s="15" t="s">
        <v>45</v>
      </c>
      <c r="C12" s="15" t="s">
        <v>40</v>
      </c>
      <c r="D12" s="14" t="s">
        <v>41</v>
      </c>
      <c r="E12" s="14" t="s">
        <v>42</v>
      </c>
      <c r="F12" s="14" t="s">
        <v>43</v>
      </c>
      <c r="G12" s="14" t="s">
        <v>63</v>
      </c>
      <c r="H12" s="16" t="n">
        <v>12</v>
      </c>
      <c r="I12" s="16" t="n">
        <v>0</v>
      </c>
      <c r="J12" s="14" t="s">
        <v>38</v>
      </c>
      <c r="K12" s="14" t="s">
        <v>50</v>
      </c>
    </row>
    <row r="13" customFormat="false" ht="15" hidden="false" customHeight="false" outlineLevel="0" collapsed="false">
      <c r="A13" s="14" t="n">
        <v>9</v>
      </c>
      <c r="B13" s="15" t="s">
        <v>45</v>
      </c>
      <c r="C13" s="15" t="s">
        <v>64</v>
      </c>
      <c r="D13" s="14" t="s">
        <v>34</v>
      </c>
      <c r="E13" s="14" t="s">
        <v>42</v>
      </c>
      <c r="F13" s="14" t="s">
        <v>65</v>
      </c>
      <c r="G13" s="14" t="s">
        <v>66</v>
      </c>
      <c r="H13" s="16" t="n">
        <v>31</v>
      </c>
      <c r="I13" s="16" t="n">
        <v>0</v>
      </c>
      <c r="J13" s="14" t="s">
        <v>38</v>
      </c>
      <c r="K13" s="14" t="s">
        <v>50</v>
      </c>
    </row>
    <row r="14" customFormat="false" ht="15" hidden="false" customHeight="false" outlineLevel="0" collapsed="false">
      <c r="A14" s="14" t="n">
        <v>10</v>
      </c>
      <c r="B14" s="15" t="s">
        <v>45</v>
      </c>
      <c r="C14" s="15" t="s">
        <v>67</v>
      </c>
      <c r="D14" s="14" t="s">
        <v>34</v>
      </c>
      <c r="E14" s="14" t="s">
        <v>42</v>
      </c>
      <c r="F14" s="14" t="s">
        <v>68</v>
      </c>
      <c r="G14" s="14" t="s">
        <v>69</v>
      </c>
      <c r="H14" s="16" t="n">
        <v>7</v>
      </c>
      <c r="I14" s="16" t="n">
        <v>0</v>
      </c>
      <c r="J14" s="14" t="s">
        <v>38</v>
      </c>
      <c r="K14" s="14" t="s">
        <v>50</v>
      </c>
    </row>
    <row r="15" customFormat="false" ht="23.85" hidden="false" customHeight="false" outlineLevel="0" collapsed="false">
      <c r="A15" s="14" t="n">
        <v>11</v>
      </c>
      <c r="B15" s="15" t="s">
        <v>45</v>
      </c>
      <c r="C15" s="15" t="s">
        <v>70</v>
      </c>
      <c r="D15" s="14" t="s">
        <v>41</v>
      </c>
      <c r="E15" s="14" t="s">
        <v>42</v>
      </c>
      <c r="F15" s="14" t="s">
        <v>71</v>
      </c>
      <c r="G15" s="14" t="s">
        <v>72</v>
      </c>
      <c r="H15" s="16" t="n">
        <v>7</v>
      </c>
      <c r="I15" s="16" t="n">
        <v>0</v>
      </c>
      <c r="J15" s="14" t="s">
        <v>38</v>
      </c>
      <c r="K15" s="14" t="s">
        <v>50</v>
      </c>
    </row>
    <row r="16" customFormat="false" ht="15" hidden="false" customHeight="false" outlineLevel="0" collapsed="false">
      <c r="A16" s="14" t="n">
        <v>12</v>
      </c>
      <c r="B16" s="15" t="s">
        <v>45</v>
      </c>
      <c r="C16" s="15" t="s">
        <v>73</v>
      </c>
      <c r="D16" s="14" t="s">
        <v>74</v>
      </c>
      <c r="E16" s="14" t="s">
        <v>42</v>
      </c>
      <c r="F16" s="14" t="s">
        <v>75</v>
      </c>
      <c r="G16" s="14" t="s">
        <v>76</v>
      </c>
      <c r="H16" s="16" t="n">
        <v>2</v>
      </c>
      <c r="I16" s="16" t="n">
        <v>0</v>
      </c>
      <c r="J16" s="14" t="s">
        <v>38</v>
      </c>
      <c r="K16" s="14" t="s">
        <v>50</v>
      </c>
    </row>
    <row r="17" customFormat="false" ht="15" hidden="false" customHeight="false" outlineLevel="0" collapsed="false">
      <c r="A17" s="14" t="n">
        <v>13</v>
      </c>
      <c r="B17" s="15" t="s">
        <v>45</v>
      </c>
      <c r="C17" s="15" t="s">
        <v>77</v>
      </c>
      <c r="D17" s="14" t="s">
        <v>34</v>
      </c>
      <c r="E17" s="14" t="s">
        <v>42</v>
      </c>
      <c r="F17" s="14" t="s">
        <v>78</v>
      </c>
      <c r="G17" s="14" t="s">
        <v>79</v>
      </c>
      <c r="H17" s="16" t="n">
        <v>53</v>
      </c>
      <c r="I17" s="16" t="n">
        <v>0</v>
      </c>
      <c r="J17" s="14" t="s">
        <v>38</v>
      </c>
      <c r="K17" s="14" t="s">
        <v>50</v>
      </c>
    </row>
    <row r="18" customFormat="false" ht="23.85" hidden="false" customHeight="false" outlineLevel="0" collapsed="false">
      <c r="A18" s="11" t="n">
        <v>14</v>
      </c>
      <c r="B18" s="12" t="s">
        <v>80</v>
      </c>
      <c r="C18" s="12" t="s">
        <v>81</v>
      </c>
      <c r="D18" s="11" t="s">
        <v>82</v>
      </c>
      <c r="E18" s="11" t="s">
        <v>35</v>
      </c>
      <c r="F18" s="11" t="s">
        <v>83</v>
      </c>
      <c r="G18" s="11" t="s">
        <v>84</v>
      </c>
      <c r="H18" s="13" t="n">
        <v>35</v>
      </c>
      <c r="I18" s="13" t="n">
        <v>0</v>
      </c>
      <c r="J18" s="11" t="s">
        <v>38</v>
      </c>
      <c r="K18" s="11" t="s">
        <v>85</v>
      </c>
    </row>
    <row r="19" customFormat="false" ht="15" hidden="false" customHeight="false" outlineLevel="0" collapsed="false">
      <c r="A19" s="11" t="n">
        <v>15</v>
      </c>
      <c r="B19" s="12" t="s">
        <v>80</v>
      </c>
      <c r="C19" s="12" t="s">
        <v>86</v>
      </c>
      <c r="D19" s="11" t="s">
        <v>87</v>
      </c>
      <c r="E19" s="11"/>
      <c r="F19" s="11" t="s">
        <v>88</v>
      </c>
      <c r="G19" s="11"/>
      <c r="H19" s="13" t="n">
        <v>35</v>
      </c>
      <c r="I19" s="13" t="n">
        <v>0</v>
      </c>
      <c r="J19" s="11" t="s">
        <v>89</v>
      </c>
      <c r="K19" s="11" t="s">
        <v>85</v>
      </c>
    </row>
    <row r="20" customFormat="false" ht="15" hidden="false" customHeight="false" outlineLevel="0" collapsed="false">
      <c r="A20" s="11" t="n">
        <v>16</v>
      </c>
      <c r="B20" s="12" t="s">
        <v>80</v>
      </c>
      <c r="C20" s="12" t="s">
        <v>90</v>
      </c>
      <c r="D20" s="11" t="s">
        <v>87</v>
      </c>
      <c r="E20" s="11"/>
      <c r="F20" s="11" t="s">
        <v>91</v>
      </c>
      <c r="G20" s="11"/>
      <c r="H20" s="13" t="n">
        <v>24</v>
      </c>
      <c r="I20" s="13" t="n">
        <v>0</v>
      </c>
      <c r="J20" s="11" t="s">
        <v>92</v>
      </c>
      <c r="K20" s="11" t="s">
        <v>85</v>
      </c>
    </row>
    <row r="21" customFormat="false" ht="15" hidden="false" customHeight="false" outlineLevel="0" collapsed="false">
      <c r="A21" s="11" t="n">
        <v>17</v>
      </c>
      <c r="B21" s="12" t="s">
        <v>80</v>
      </c>
      <c r="C21" s="12" t="s">
        <v>93</v>
      </c>
      <c r="D21" s="11" t="s">
        <v>94</v>
      </c>
      <c r="E21" s="11"/>
      <c r="F21" s="11" t="s">
        <v>95</v>
      </c>
      <c r="G21" s="11" t="s">
        <v>96</v>
      </c>
      <c r="H21" s="13" t="n">
        <v>2</v>
      </c>
      <c r="I21" s="13" t="n">
        <v>0</v>
      </c>
      <c r="J21" s="11" t="s">
        <v>97</v>
      </c>
      <c r="K21" s="11" t="s">
        <v>85</v>
      </c>
    </row>
    <row r="22" customFormat="false" ht="15" hidden="false" customHeight="false" outlineLevel="0" collapsed="false">
      <c r="A22" s="11" t="n">
        <v>18</v>
      </c>
      <c r="B22" s="12" t="s">
        <v>80</v>
      </c>
      <c r="C22" s="12" t="s">
        <v>98</v>
      </c>
      <c r="D22" s="11" t="s">
        <v>34</v>
      </c>
      <c r="E22" s="11"/>
      <c r="F22" s="11" t="s">
        <v>99</v>
      </c>
      <c r="G22" s="11" t="s">
        <v>100</v>
      </c>
      <c r="H22" s="13" t="n">
        <v>17</v>
      </c>
      <c r="I22" s="13" t="n">
        <v>0</v>
      </c>
      <c r="J22" s="11" t="s">
        <v>101</v>
      </c>
      <c r="K22" s="11" t="s">
        <v>85</v>
      </c>
    </row>
    <row r="23" customFormat="false" ht="15" hidden="false" customHeight="false" outlineLevel="0" collapsed="false">
      <c r="A23" s="11" t="n">
        <v>19</v>
      </c>
      <c r="B23" s="12" t="s">
        <v>80</v>
      </c>
      <c r="C23" s="12" t="s">
        <v>102</v>
      </c>
      <c r="D23" s="11" t="s">
        <v>103</v>
      </c>
      <c r="E23" s="11"/>
      <c r="F23" s="11" t="s">
        <v>104</v>
      </c>
      <c r="G23" s="11" t="s">
        <v>105</v>
      </c>
      <c r="H23" s="13" t="n">
        <v>22</v>
      </c>
      <c r="I23" s="13" t="n">
        <v>0</v>
      </c>
      <c r="J23" s="11" t="s">
        <v>106</v>
      </c>
      <c r="K23" s="11" t="s">
        <v>85</v>
      </c>
    </row>
    <row r="24" customFormat="false" ht="15" hidden="false" customHeight="false" outlineLevel="0" collapsed="false">
      <c r="A24" s="11" t="n">
        <v>20</v>
      </c>
      <c r="B24" s="12" t="s">
        <v>80</v>
      </c>
      <c r="C24" s="12" t="s">
        <v>107</v>
      </c>
      <c r="D24" s="11" t="s">
        <v>103</v>
      </c>
      <c r="E24" s="11"/>
      <c r="F24" s="11" t="s">
        <v>108</v>
      </c>
      <c r="G24" s="11" t="s">
        <v>109</v>
      </c>
      <c r="H24" s="13" t="n">
        <v>22</v>
      </c>
      <c r="I24" s="13" t="n">
        <v>0</v>
      </c>
      <c r="J24" s="11" t="s">
        <v>110</v>
      </c>
      <c r="K24" s="11" t="s">
        <v>85</v>
      </c>
    </row>
    <row r="25" customFormat="false" ht="15" hidden="false" customHeight="false" outlineLevel="0" collapsed="false">
      <c r="A25" s="11" t="n">
        <v>21</v>
      </c>
      <c r="B25" s="12" t="s">
        <v>80</v>
      </c>
      <c r="C25" s="12" t="s">
        <v>111</v>
      </c>
      <c r="D25" s="11" t="s">
        <v>103</v>
      </c>
      <c r="E25" s="11"/>
      <c r="F25" s="11" t="s">
        <v>112</v>
      </c>
      <c r="G25" s="11" t="s">
        <v>113</v>
      </c>
      <c r="H25" s="13" t="n">
        <v>16</v>
      </c>
      <c r="I25" s="13" t="n">
        <v>0</v>
      </c>
      <c r="J25" s="11" t="s">
        <v>114</v>
      </c>
      <c r="K25" s="11" t="s">
        <v>85</v>
      </c>
    </row>
    <row r="26" customFormat="false" ht="23.85" hidden="false" customHeight="false" outlineLevel="0" collapsed="false">
      <c r="A26" s="11" t="n">
        <v>22</v>
      </c>
      <c r="B26" s="12" t="s">
        <v>80</v>
      </c>
      <c r="C26" s="12" t="s">
        <v>115</v>
      </c>
      <c r="D26" s="11" t="s">
        <v>116</v>
      </c>
      <c r="E26" s="11"/>
      <c r="F26" s="11" t="s">
        <v>117</v>
      </c>
      <c r="G26" s="11" t="s">
        <v>118</v>
      </c>
      <c r="H26" s="13" t="n">
        <v>32</v>
      </c>
      <c r="I26" s="13" t="n">
        <v>0</v>
      </c>
      <c r="J26" s="11" t="s">
        <v>119</v>
      </c>
      <c r="K26" s="11" t="s">
        <v>85</v>
      </c>
    </row>
    <row r="27" customFormat="false" ht="23.85" hidden="false" customHeight="false" outlineLevel="0" collapsed="false">
      <c r="A27" s="11" t="n">
        <v>23</v>
      </c>
      <c r="B27" s="12" t="s">
        <v>80</v>
      </c>
      <c r="C27" s="12" t="s">
        <v>120</v>
      </c>
      <c r="D27" s="11" t="s">
        <v>116</v>
      </c>
      <c r="E27" s="11"/>
      <c r="F27" s="11" t="s">
        <v>121</v>
      </c>
      <c r="G27" s="11" t="s">
        <v>122</v>
      </c>
      <c r="H27" s="13" t="n">
        <v>32</v>
      </c>
      <c r="I27" s="13" t="n">
        <v>0</v>
      </c>
      <c r="J27" s="11" t="s">
        <v>123</v>
      </c>
      <c r="K27" s="11" t="s">
        <v>85</v>
      </c>
    </row>
    <row r="28" customFormat="false" ht="15" hidden="false" customHeight="false" outlineLevel="0" collapsed="false">
      <c r="A28" s="14" t="n">
        <v>24</v>
      </c>
      <c r="B28" s="15" t="s">
        <v>124</v>
      </c>
      <c r="C28" s="15" t="s">
        <v>125</v>
      </c>
      <c r="D28" s="14" t="s">
        <v>82</v>
      </c>
      <c r="E28" s="14" t="s">
        <v>35</v>
      </c>
      <c r="F28" s="14" t="s">
        <v>126</v>
      </c>
      <c r="G28" s="14" t="s">
        <v>127</v>
      </c>
      <c r="H28" s="16" t="n">
        <v>1245</v>
      </c>
      <c r="I28" s="16" t="n">
        <v>0</v>
      </c>
      <c r="J28" s="14" t="s">
        <v>38</v>
      </c>
      <c r="K28" s="14" t="s">
        <v>128</v>
      </c>
    </row>
    <row r="29" customFormat="false" ht="15" hidden="false" customHeight="false" outlineLevel="0" collapsed="false">
      <c r="A29" s="14" t="n">
        <v>25</v>
      </c>
      <c r="B29" s="15" t="s">
        <v>124</v>
      </c>
      <c r="C29" s="15" t="s">
        <v>129</v>
      </c>
      <c r="D29" s="14" t="s">
        <v>94</v>
      </c>
      <c r="E29" s="14" t="s">
        <v>130</v>
      </c>
      <c r="F29" s="14" t="s">
        <v>131</v>
      </c>
      <c r="G29" s="14"/>
      <c r="H29" s="16" t="n">
        <v>1245</v>
      </c>
      <c r="I29" s="16" t="n">
        <v>0</v>
      </c>
      <c r="J29" s="14" t="s">
        <v>132</v>
      </c>
      <c r="K29" s="14" t="s">
        <v>128</v>
      </c>
    </row>
    <row r="30" customFormat="false" ht="15" hidden="false" customHeight="false" outlineLevel="0" collapsed="false">
      <c r="A30" s="14" t="n">
        <v>26</v>
      </c>
      <c r="B30" s="15" t="s">
        <v>124</v>
      </c>
      <c r="C30" s="15" t="s">
        <v>133</v>
      </c>
      <c r="D30" s="14" t="s">
        <v>87</v>
      </c>
      <c r="E30" s="14"/>
      <c r="F30" s="14" t="s">
        <v>134</v>
      </c>
      <c r="G30" s="14" t="s">
        <v>135</v>
      </c>
      <c r="H30" s="16" t="n">
        <v>4</v>
      </c>
      <c r="I30" s="16" t="n">
        <v>0</v>
      </c>
      <c r="J30" s="14" t="s">
        <v>136</v>
      </c>
      <c r="K30" s="14" t="s">
        <v>128</v>
      </c>
    </row>
    <row r="31" customFormat="false" ht="15" hidden="false" customHeight="false" outlineLevel="0" collapsed="false">
      <c r="A31" s="14" t="n">
        <v>27</v>
      </c>
      <c r="B31" s="15" t="s">
        <v>124</v>
      </c>
      <c r="C31" s="15" t="s">
        <v>137</v>
      </c>
      <c r="D31" s="14" t="s">
        <v>34</v>
      </c>
      <c r="E31" s="14"/>
      <c r="F31" s="14" t="s">
        <v>138</v>
      </c>
      <c r="G31" s="14" t="s">
        <v>139</v>
      </c>
      <c r="H31" s="16" t="n">
        <v>24</v>
      </c>
      <c r="I31" s="16" t="n">
        <v>0</v>
      </c>
      <c r="J31" s="14" t="s">
        <v>140</v>
      </c>
      <c r="K31" s="14" t="s">
        <v>128</v>
      </c>
    </row>
    <row r="32" customFormat="false" ht="23.85" hidden="false" customHeight="false" outlineLevel="0" collapsed="false">
      <c r="A32" s="14" t="n">
        <v>28</v>
      </c>
      <c r="B32" s="15" t="s">
        <v>124</v>
      </c>
      <c r="C32" s="15" t="s">
        <v>141</v>
      </c>
      <c r="D32" s="14" t="s">
        <v>34</v>
      </c>
      <c r="E32" s="14"/>
      <c r="F32" s="14" t="s">
        <v>142</v>
      </c>
      <c r="G32" s="14" t="s">
        <v>143</v>
      </c>
      <c r="H32" s="16" t="n">
        <v>26</v>
      </c>
      <c r="I32" s="16" t="n">
        <v>0</v>
      </c>
      <c r="J32" s="14" t="s">
        <v>144</v>
      </c>
      <c r="K32" s="14" t="s">
        <v>128</v>
      </c>
    </row>
    <row r="33" customFormat="false" ht="23.85" hidden="false" customHeight="false" outlineLevel="0" collapsed="false">
      <c r="A33" s="14" t="n">
        <v>29</v>
      </c>
      <c r="B33" s="15" t="s">
        <v>124</v>
      </c>
      <c r="C33" s="15" t="s">
        <v>145</v>
      </c>
      <c r="D33" s="14" t="s">
        <v>146</v>
      </c>
      <c r="E33" s="14"/>
      <c r="F33" s="14" t="s">
        <v>147</v>
      </c>
      <c r="G33" s="14" t="s">
        <v>148</v>
      </c>
      <c r="H33" s="16" t="n">
        <v>1173</v>
      </c>
      <c r="I33" s="16" t="n">
        <v>0</v>
      </c>
      <c r="J33" s="14" t="s">
        <v>149</v>
      </c>
      <c r="K33" s="14" t="s">
        <v>128</v>
      </c>
    </row>
    <row r="34" customFormat="false" ht="15" hidden="false" customHeight="false" outlineLevel="0" collapsed="false">
      <c r="A34" s="14" t="n">
        <v>30</v>
      </c>
      <c r="B34" s="15" t="s">
        <v>124</v>
      </c>
      <c r="C34" s="15" t="s">
        <v>150</v>
      </c>
      <c r="D34" s="14" t="s">
        <v>34</v>
      </c>
      <c r="E34" s="14"/>
      <c r="F34" s="14" t="s">
        <v>151</v>
      </c>
      <c r="G34" s="14" t="s">
        <v>152</v>
      </c>
      <c r="H34" s="16" t="n">
        <v>10</v>
      </c>
      <c r="I34" s="16" t="n">
        <v>0</v>
      </c>
      <c r="J34" s="14" t="s">
        <v>153</v>
      </c>
      <c r="K34" s="14" t="s">
        <v>128</v>
      </c>
    </row>
    <row r="35" customFormat="false" ht="23.85" hidden="false" customHeight="false" outlineLevel="0" collapsed="false">
      <c r="A35" s="14" t="n">
        <v>31</v>
      </c>
      <c r="B35" s="15" t="s">
        <v>124</v>
      </c>
      <c r="C35" s="15" t="s">
        <v>154</v>
      </c>
      <c r="D35" s="14" t="s">
        <v>116</v>
      </c>
      <c r="E35" s="14"/>
      <c r="F35" s="14" t="s">
        <v>155</v>
      </c>
      <c r="G35" s="14" t="s">
        <v>156</v>
      </c>
      <c r="H35" s="16" t="n">
        <v>1154</v>
      </c>
      <c r="I35" s="16" t="n">
        <v>0</v>
      </c>
      <c r="J35" s="14" t="s">
        <v>157</v>
      </c>
      <c r="K35" s="14" t="s">
        <v>128</v>
      </c>
    </row>
    <row r="36" customFormat="false" ht="23.85" hidden="false" customHeight="false" outlineLevel="0" collapsed="false">
      <c r="A36" s="14" t="n">
        <v>32</v>
      </c>
      <c r="B36" s="15" t="s">
        <v>124</v>
      </c>
      <c r="C36" s="15" t="s">
        <v>158</v>
      </c>
      <c r="D36" s="14" t="s">
        <v>103</v>
      </c>
      <c r="E36" s="14"/>
      <c r="F36" s="14" t="s">
        <v>159</v>
      </c>
      <c r="G36" s="14" t="s">
        <v>160</v>
      </c>
      <c r="H36" s="16" t="n">
        <v>1239</v>
      </c>
      <c r="I36" s="16" t="n">
        <v>0</v>
      </c>
      <c r="J36" s="14" t="s">
        <v>161</v>
      </c>
      <c r="K36" s="14" t="s">
        <v>128</v>
      </c>
    </row>
    <row r="37" customFormat="false" ht="15" hidden="false" customHeight="false" outlineLevel="0" collapsed="false">
      <c r="A37" s="14" t="n">
        <v>33</v>
      </c>
      <c r="B37" s="15" t="s">
        <v>124</v>
      </c>
      <c r="C37" s="15" t="s">
        <v>162</v>
      </c>
      <c r="D37" s="14" t="s">
        <v>163</v>
      </c>
      <c r="E37" s="14"/>
      <c r="F37" s="14" t="s">
        <v>164</v>
      </c>
      <c r="G37" s="14" t="s">
        <v>165</v>
      </c>
      <c r="H37" s="16" t="n">
        <v>3</v>
      </c>
      <c r="I37" s="16" t="n">
        <v>0</v>
      </c>
      <c r="J37" s="14" t="s">
        <v>166</v>
      </c>
      <c r="K37" s="14" t="s">
        <v>128</v>
      </c>
    </row>
    <row r="38" customFormat="false" ht="15" hidden="false" customHeight="false" outlineLevel="0" collapsed="false">
      <c r="A38" s="14" t="n">
        <v>34</v>
      </c>
      <c r="B38" s="15" t="s">
        <v>124</v>
      </c>
      <c r="C38" s="15" t="s">
        <v>167</v>
      </c>
      <c r="D38" s="14" t="s">
        <v>168</v>
      </c>
      <c r="E38" s="14"/>
      <c r="F38" s="14" t="s">
        <v>169</v>
      </c>
      <c r="G38" s="14" t="s">
        <v>170</v>
      </c>
      <c r="H38" s="16" t="n">
        <v>3</v>
      </c>
      <c r="I38" s="16" t="n">
        <v>0</v>
      </c>
      <c r="J38" s="14" t="s">
        <v>171</v>
      </c>
      <c r="K38" s="14" t="s">
        <v>128</v>
      </c>
    </row>
    <row r="39" customFormat="false" ht="15" hidden="false" customHeight="false" outlineLevel="0" collapsed="false">
      <c r="A39" s="14" t="n">
        <v>35</v>
      </c>
      <c r="B39" s="15" t="s">
        <v>124</v>
      </c>
      <c r="C39" s="15" t="s">
        <v>172</v>
      </c>
      <c r="D39" s="14" t="s">
        <v>168</v>
      </c>
      <c r="E39" s="14"/>
      <c r="F39" s="14" t="s">
        <v>173</v>
      </c>
      <c r="G39" s="14" t="s">
        <v>174</v>
      </c>
      <c r="H39" s="16" t="n">
        <v>4</v>
      </c>
      <c r="I39" s="16" t="n">
        <v>0</v>
      </c>
      <c r="J39" s="14" t="s">
        <v>175</v>
      </c>
      <c r="K39" s="14" t="s">
        <v>128</v>
      </c>
    </row>
    <row r="40" customFormat="false" ht="15" hidden="false" customHeight="false" outlineLevel="0" collapsed="false">
      <c r="A40" s="11" t="n">
        <v>36</v>
      </c>
      <c r="B40" s="12" t="s">
        <v>176</v>
      </c>
      <c r="C40" s="12" t="s">
        <v>177</v>
      </c>
      <c r="D40" s="11" t="s">
        <v>82</v>
      </c>
      <c r="E40" s="11" t="s">
        <v>35</v>
      </c>
      <c r="F40" s="11" t="s">
        <v>126</v>
      </c>
      <c r="G40" s="11" t="s">
        <v>178</v>
      </c>
      <c r="H40" s="13" t="n">
        <v>10</v>
      </c>
      <c r="I40" s="13" t="n">
        <v>0</v>
      </c>
      <c r="J40" s="11" t="s">
        <v>38</v>
      </c>
      <c r="K40" s="11" t="s">
        <v>179</v>
      </c>
    </row>
    <row r="41" customFormat="false" ht="35.05" hidden="false" customHeight="false" outlineLevel="0" collapsed="false">
      <c r="A41" s="11" t="n">
        <v>37</v>
      </c>
      <c r="B41" s="12" t="s">
        <v>176</v>
      </c>
      <c r="C41" s="12" t="s">
        <v>180</v>
      </c>
      <c r="D41" s="11" t="s">
        <v>94</v>
      </c>
      <c r="E41" s="11" t="s">
        <v>130</v>
      </c>
      <c r="F41" s="11" t="s">
        <v>181</v>
      </c>
      <c r="G41" s="11" t="s">
        <v>182</v>
      </c>
      <c r="H41" s="13" t="n">
        <v>10</v>
      </c>
      <c r="I41" s="13" t="n">
        <v>0</v>
      </c>
      <c r="J41" s="11" t="s">
        <v>183</v>
      </c>
      <c r="K41" s="11" t="s">
        <v>179</v>
      </c>
    </row>
    <row r="42" customFormat="false" ht="15" hidden="false" customHeight="false" outlineLevel="0" collapsed="false">
      <c r="A42" s="14" t="n">
        <v>38</v>
      </c>
      <c r="B42" s="15" t="s">
        <v>184</v>
      </c>
      <c r="C42" s="15" t="s">
        <v>185</v>
      </c>
      <c r="D42" s="14" t="s">
        <v>82</v>
      </c>
      <c r="E42" s="14" t="s">
        <v>35</v>
      </c>
      <c r="F42" s="14" t="s">
        <v>126</v>
      </c>
      <c r="G42" s="14" t="s">
        <v>186</v>
      </c>
      <c r="H42" s="16" t="n">
        <v>1500</v>
      </c>
      <c r="I42" s="16" t="n">
        <v>0</v>
      </c>
      <c r="J42" s="14" t="s">
        <v>38</v>
      </c>
      <c r="K42" s="14" t="s">
        <v>187</v>
      </c>
    </row>
    <row r="43" customFormat="false" ht="23.85" hidden="false" customHeight="false" outlineLevel="0" collapsed="false">
      <c r="A43" s="14" t="n">
        <v>39</v>
      </c>
      <c r="B43" s="15" t="s">
        <v>184</v>
      </c>
      <c r="C43" s="15" t="s">
        <v>188</v>
      </c>
      <c r="D43" s="14" t="s">
        <v>94</v>
      </c>
      <c r="E43" s="14" t="s">
        <v>130</v>
      </c>
      <c r="F43" s="14" t="s">
        <v>189</v>
      </c>
      <c r="G43" s="14"/>
      <c r="H43" s="16" t="n">
        <v>1500</v>
      </c>
      <c r="I43" s="16" t="n">
        <v>0</v>
      </c>
      <c r="J43" s="14" t="s">
        <v>190</v>
      </c>
      <c r="K43" s="14" t="s">
        <v>187</v>
      </c>
    </row>
    <row r="44" customFormat="false" ht="23.85" hidden="false" customHeight="false" outlineLevel="0" collapsed="false">
      <c r="A44" s="14" t="n">
        <v>40</v>
      </c>
      <c r="B44" s="15" t="s">
        <v>184</v>
      </c>
      <c r="C44" s="15" t="s">
        <v>191</v>
      </c>
      <c r="D44" s="14" t="s">
        <v>192</v>
      </c>
      <c r="E44" s="14"/>
      <c r="F44" s="14" t="s">
        <v>193</v>
      </c>
      <c r="G44" s="14"/>
      <c r="H44" s="16" t="n">
        <v>1500</v>
      </c>
      <c r="I44" s="16" t="n">
        <v>0</v>
      </c>
      <c r="J44" s="14" t="s">
        <v>194</v>
      </c>
      <c r="K44" s="14" t="s">
        <v>187</v>
      </c>
    </row>
    <row r="45" customFormat="false" ht="23.85" hidden="false" customHeight="false" outlineLevel="0" collapsed="false">
      <c r="A45" s="14" t="n">
        <v>41</v>
      </c>
      <c r="B45" s="15" t="s">
        <v>184</v>
      </c>
      <c r="C45" s="15" t="s">
        <v>195</v>
      </c>
      <c r="D45" s="14" t="s">
        <v>192</v>
      </c>
      <c r="E45" s="14"/>
      <c r="F45" s="14" t="s">
        <v>196</v>
      </c>
      <c r="G45" s="14"/>
      <c r="H45" s="16" t="n">
        <v>1500</v>
      </c>
      <c r="I45" s="16" t="n">
        <v>0</v>
      </c>
      <c r="J45" s="14" t="s">
        <v>197</v>
      </c>
      <c r="K45" s="14" t="s">
        <v>187</v>
      </c>
    </row>
    <row r="46" customFormat="false" ht="23.85" hidden="false" customHeight="false" outlineLevel="0" collapsed="false">
      <c r="A46" s="14" t="n">
        <v>42</v>
      </c>
      <c r="B46" s="15" t="s">
        <v>184</v>
      </c>
      <c r="C46" s="15" t="s">
        <v>198</v>
      </c>
      <c r="D46" s="14" t="s">
        <v>168</v>
      </c>
      <c r="E46" s="14"/>
      <c r="F46" s="14" t="s">
        <v>199</v>
      </c>
      <c r="G46" s="14"/>
      <c r="H46" s="16" t="n">
        <v>1500</v>
      </c>
      <c r="I46" s="16" t="n">
        <v>0</v>
      </c>
      <c r="J46" s="14" t="s">
        <v>197</v>
      </c>
      <c r="K46" s="14" t="s">
        <v>187</v>
      </c>
    </row>
    <row r="47" customFormat="false" ht="46.25" hidden="false" customHeight="false" outlineLevel="0" collapsed="false">
      <c r="A47" s="14" t="n">
        <v>43</v>
      </c>
      <c r="B47" s="15" t="s">
        <v>184</v>
      </c>
      <c r="C47" s="15" t="s">
        <v>200</v>
      </c>
      <c r="D47" s="14" t="s">
        <v>87</v>
      </c>
      <c r="E47" s="14"/>
      <c r="F47" s="14" t="s">
        <v>201</v>
      </c>
      <c r="G47" s="14" t="s">
        <v>202</v>
      </c>
      <c r="H47" s="16" t="n">
        <v>12</v>
      </c>
      <c r="I47" s="16" t="n">
        <v>0</v>
      </c>
      <c r="J47" s="14" t="s">
        <v>203</v>
      </c>
      <c r="K47" s="14" t="s">
        <v>187</v>
      </c>
    </row>
    <row r="48" customFormat="false" ht="35.05" hidden="false" customHeight="false" outlineLevel="0" collapsed="false">
      <c r="A48" s="14" t="n">
        <v>44</v>
      </c>
      <c r="B48" s="15" t="s">
        <v>184</v>
      </c>
      <c r="C48" s="15" t="s">
        <v>204</v>
      </c>
      <c r="D48" s="14" t="s">
        <v>87</v>
      </c>
      <c r="E48" s="14"/>
      <c r="F48" s="14" t="s">
        <v>205</v>
      </c>
      <c r="G48" s="14" t="s">
        <v>206</v>
      </c>
      <c r="H48" s="16" t="n">
        <v>9</v>
      </c>
      <c r="I48" s="16" t="n">
        <v>0</v>
      </c>
      <c r="J48" s="14" t="s">
        <v>203</v>
      </c>
      <c r="K48" s="14" t="s">
        <v>187</v>
      </c>
    </row>
    <row r="49" customFormat="false" ht="23.85" hidden="false" customHeight="false" outlineLevel="0" collapsed="false">
      <c r="A49" s="14" t="n">
        <v>45</v>
      </c>
      <c r="B49" s="15" t="s">
        <v>184</v>
      </c>
      <c r="C49" s="15" t="s">
        <v>207</v>
      </c>
      <c r="D49" s="14" t="s">
        <v>87</v>
      </c>
      <c r="E49" s="14"/>
      <c r="F49" s="14" t="s">
        <v>208</v>
      </c>
      <c r="G49" s="14" t="s">
        <v>209</v>
      </c>
      <c r="H49" s="16" t="n">
        <v>1</v>
      </c>
      <c r="I49" s="16" t="n">
        <v>0</v>
      </c>
      <c r="J49" s="14" t="s">
        <v>203</v>
      </c>
      <c r="K49" s="14" t="s">
        <v>187</v>
      </c>
    </row>
    <row r="50" customFormat="false" ht="23.85" hidden="false" customHeight="false" outlineLevel="0" collapsed="false">
      <c r="A50" s="14" t="n">
        <v>46</v>
      </c>
      <c r="B50" s="15" t="s">
        <v>184</v>
      </c>
      <c r="C50" s="15" t="s">
        <v>210</v>
      </c>
      <c r="D50" s="14" t="s">
        <v>163</v>
      </c>
      <c r="E50" s="14"/>
      <c r="F50" s="14" t="s">
        <v>211</v>
      </c>
      <c r="G50" s="14" t="s">
        <v>212</v>
      </c>
      <c r="H50" s="16" t="n">
        <v>4</v>
      </c>
      <c r="I50" s="16" t="n">
        <v>0</v>
      </c>
      <c r="J50" s="14" t="s">
        <v>213</v>
      </c>
      <c r="K50" s="14" t="s">
        <v>187</v>
      </c>
    </row>
    <row r="51" customFormat="false" ht="23.85" hidden="false" customHeight="false" outlineLevel="0" collapsed="false">
      <c r="A51" s="14" t="n">
        <v>47</v>
      </c>
      <c r="B51" s="15" t="s">
        <v>184</v>
      </c>
      <c r="C51" s="15" t="s">
        <v>214</v>
      </c>
      <c r="D51" s="14" t="s">
        <v>52</v>
      </c>
      <c r="E51" s="14"/>
      <c r="F51" s="14" t="s">
        <v>215</v>
      </c>
      <c r="G51" s="14" t="s">
        <v>216</v>
      </c>
      <c r="H51" s="16" t="n">
        <v>1188</v>
      </c>
      <c r="I51" s="16" t="n">
        <v>0</v>
      </c>
      <c r="J51" s="14" t="s">
        <v>217</v>
      </c>
      <c r="K51" s="14" t="s">
        <v>187</v>
      </c>
    </row>
    <row r="52" customFormat="false" ht="15" hidden="false" customHeight="false" outlineLevel="0" collapsed="false">
      <c r="A52" s="14" t="n">
        <v>48</v>
      </c>
      <c r="B52" s="15" t="s">
        <v>184</v>
      </c>
      <c r="C52" s="15" t="s">
        <v>218</v>
      </c>
      <c r="D52" s="14" t="s">
        <v>219</v>
      </c>
      <c r="E52" s="14"/>
      <c r="F52" s="14" t="s">
        <v>220</v>
      </c>
      <c r="G52" s="14" t="s">
        <v>221</v>
      </c>
      <c r="H52" s="16" t="n">
        <v>1500</v>
      </c>
      <c r="I52" s="16" t="n">
        <v>0</v>
      </c>
      <c r="J52" s="14" t="s">
        <v>222</v>
      </c>
      <c r="K52" s="14" t="s">
        <v>187</v>
      </c>
    </row>
    <row r="53" customFormat="false" ht="23.85" hidden="false" customHeight="false" outlineLevel="0" collapsed="false">
      <c r="A53" s="14" t="n">
        <v>49</v>
      </c>
      <c r="B53" s="15" t="s">
        <v>184</v>
      </c>
      <c r="C53" s="15" t="s">
        <v>223</v>
      </c>
      <c r="D53" s="14" t="s">
        <v>168</v>
      </c>
      <c r="E53" s="14"/>
      <c r="F53" s="14" t="s">
        <v>224</v>
      </c>
      <c r="G53" s="14" t="s">
        <v>225</v>
      </c>
      <c r="H53" s="16" t="n">
        <v>2</v>
      </c>
      <c r="I53" s="16" t="n">
        <v>0</v>
      </c>
      <c r="J53" s="14" t="s">
        <v>226</v>
      </c>
      <c r="K53" s="14" t="s">
        <v>187</v>
      </c>
    </row>
    <row r="54" customFormat="false" ht="15" hidden="false" customHeight="false" outlineLevel="0" collapsed="false">
      <c r="A54" s="11" t="n">
        <v>50</v>
      </c>
      <c r="B54" s="12" t="s">
        <v>227</v>
      </c>
      <c r="C54" s="12" t="s">
        <v>228</v>
      </c>
      <c r="D54" s="11" t="s">
        <v>82</v>
      </c>
      <c r="E54" s="11" t="s">
        <v>35</v>
      </c>
      <c r="F54" s="11" t="s">
        <v>126</v>
      </c>
      <c r="G54" s="11" t="s">
        <v>229</v>
      </c>
      <c r="H54" s="13" t="n">
        <v>1000</v>
      </c>
      <c r="I54" s="13" t="n">
        <v>0</v>
      </c>
      <c r="J54" s="11" t="s">
        <v>38</v>
      </c>
      <c r="K54" s="11" t="s">
        <v>230</v>
      </c>
    </row>
    <row r="55" customFormat="false" ht="23.85" hidden="false" customHeight="false" outlineLevel="0" collapsed="false">
      <c r="A55" s="11" t="n">
        <v>51</v>
      </c>
      <c r="B55" s="12" t="s">
        <v>227</v>
      </c>
      <c r="C55" s="12" t="s">
        <v>231</v>
      </c>
      <c r="D55" s="11" t="s">
        <v>94</v>
      </c>
      <c r="E55" s="11" t="s">
        <v>130</v>
      </c>
      <c r="F55" s="11" t="s">
        <v>232</v>
      </c>
      <c r="G55" s="11"/>
      <c r="H55" s="13" t="n">
        <v>1000</v>
      </c>
      <c r="I55" s="13" t="n">
        <v>0</v>
      </c>
      <c r="J55" s="11" t="s">
        <v>233</v>
      </c>
      <c r="K55" s="11" t="s">
        <v>230</v>
      </c>
    </row>
    <row r="56" customFormat="false" ht="15" hidden="false" customHeight="false" outlineLevel="0" collapsed="false">
      <c r="A56" s="11" t="n">
        <v>52</v>
      </c>
      <c r="B56" s="12" t="s">
        <v>227</v>
      </c>
      <c r="C56" s="12" t="s">
        <v>234</v>
      </c>
      <c r="D56" s="11" t="s">
        <v>192</v>
      </c>
      <c r="E56" s="11"/>
      <c r="F56" s="11" t="s">
        <v>235</v>
      </c>
      <c r="G56" s="11"/>
      <c r="H56" s="13" t="n">
        <v>1000</v>
      </c>
      <c r="I56" s="13" t="n">
        <v>0</v>
      </c>
      <c r="J56" s="11" t="s">
        <v>236</v>
      </c>
      <c r="K56" s="11" t="s">
        <v>230</v>
      </c>
    </row>
    <row r="57" customFormat="false" ht="23.85" hidden="false" customHeight="false" outlineLevel="0" collapsed="false">
      <c r="A57" s="11" t="n">
        <v>53</v>
      </c>
      <c r="B57" s="12" t="s">
        <v>227</v>
      </c>
      <c r="C57" s="12" t="s">
        <v>237</v>
      </c>
      <c r="D57" s="11" t="s">
        <v>163</v>
      </c>
      <c r="E57" s="11"/>
      <c r="F57" s="11" t="s">
        <v>238</v>
      </c>
      <c r="G57" s="11" t="s">
        <v>239</v>
      </c>
      <c r="H57" s="13" t="n">
        <v>5</v>
      </c>
      <c r="I57" s="13" t="n">
        <v>0</v>
      </c>
      <c r="J57" s="11" t="s">
        <v>240</v>
      </c>
      <c r="K57" s="11" t="s">
        <v>230</v>
      </c>
    </row>
    <row r="58" customFormat="false" ht="15" hidden="false" customHeight="false" outlineLevel="0" collapsed="false">
      <c r="A58" s="11" t="n">
        <v>54</v>
      </c>
      <c r="B58" s="12" t="s">
        <v>227</v>
      </c>
      <c r="C58" s="12" t="s">
        <v>241</v>
      </c>
      <c r="D58" s="11" t="s">
        <v>103</v>
      </c>
      <c r="E58" s="11"/>
      <c r="F58" s="11" t="s">
        <v>242</v>
      </c>
      <c r="G58" s="11" t="s">
        <v>243</v>
      </c>
      <c r="H58" s="13" t="n">
        <v>6</v>
      </c>
      <c r="I58" s="13" t="n">
        <v>0</v>
      </c>
      <c r="J58" s="11" t="s">
        <v>244</v>
      </c>
      <c r="K58" s="11" t="s">
        <v>230</v>
      </c>
    </row>
    <row r="59" customFormat="false" ht="15" hidden="false" customHeight="false" outlineLevel="0" collapsed="false">
      <c r="A59" s="14" t="n">
        <v>55</v>
      </c>
      <c r="B59" s="15" t="s">
        <v>245</v>
      </c>
      <c r="C59" s="15" t="s">
        <v>246</v>
      </c>
      <c r="D59" s="14" t="s">
        <v>82</v>
      </c>
      <c r="E59" s="14" t="s">
        <v>35</v>
      </c>
      <c r="F59" s="14" t="s">
        <v>126</v>
      </c>
      <c r="G59" s="14" t="s">
        <v>247</v>
      </c>
      <c r="H59" s="16" t="n">
        <v>3204</v>
      </c>
      <c r="I59" s="16" t="n">
        <v>0</v>
      </c>
      <c r="J59" s="14" t="s">
        <v>38</v>
      </c>
      <c r="K59" s="14" t="s">
        <v>248</v>
      </c>
    </row>
    <row r="60" customFormat="false" ht="23.85" hidden="false" customHeight="false" outlineLevel="0" collapsed="false">
      <c r="A60" s="14" t="n">
        <v>56</v>
      </c>
      <c r="B60" s="15" t="s">
        <v>245</v>
      </c>
      <c r="C60" s="15" t="s">
        <v>231</v>
      </c>
      <c r="D60" s="14" t="s">
        <v>94</v>
      </c>
      <c r="E60" s="14" t="s">
        <v>130</v>
      </c>
      <c r="F60" s="14" t="s">
        <v>249</v>
      </c>
      <c r="G60" s="14"/>
      <c r="H60" s="16" t="n">
        <v>3204</v>
      </c>
      <c r="I60" s="16" t="n">
        <v>0</v>
      </c>
      <c r="J60" s="14" t="s">
        <v>250</v>
      </c>
      <c r="K60" s="14" t="s">
        <v>248</v>
      </c>
    </row>
    <row r="61" customFormat="false" ht="23.85" hidden="false" customHeight="false" outlineLevel="0" collapsed="false">
      <c r="A61" s="14" t="n">
        <v>57</v>
      </c>
      <c r="B61" s="15" t="s">
        <v>245</v>
      </c>
      <c r="C61" s="15" t="s">
        <v>237</v>
      </c>
      <c r="D61" s="14" t="s">
        <v>163</v>
      </c>
      <c r="E61" s="14"/>
      <c r="F61" s="14" t="s">
        <v>251</v>
      </c>
      <c r="G61" s="14" t="s">
        <v>252</v>
      </c>
      <c r="H61" s="16" t="n">
        <v>5</v>
      </c>
      <c r="I61" s="16" t="n">
        <v>0</v>
      </c>
      <c r="J61" s="14" t="s">
        <v>253</v>
      </c>
      <c r="K61" s="14" t="s">
        <v>248</v>
      </c>
    </row>
    <row r="62" customFormat="false" ht="15" hidden="false" customHeight="false" outlineLevel="0" collapsed="false">
      <c r="A62" s="14" t="n">
        <v>58</v>
      </c>
      <c r="B62" s="15" t="s">
        <v>245</v>
      </c>
      <c r="C62" s="15" t="s">
        <v>254</v>
      </c>
      <c r="D62" s="14" t="s">
        <v>168</v>
      </c>
      <c r="E62" s="14"/>
      <c r="F62" s="14" t="s">
        <v>255</v>
      </c>
      <c r="G62" s="14"/>
      <c r="H62" s="16" t="n">
        <v>100</v>
      </c>
      <c r="I62" s="16" t="n">
        <v>0</v>
      </c>
      <c r="J62" s="14" t="s">
        <v>256</v>
      </c>
      <c r="K62" s="14" t="s">
        <v>248</v>
      </c>
    </row>
    <row r="63" customFormat="false" ht="15" hidden="false" customHeight="false" outlineLevel="0" collapsed="false">
      <c r="A63" s="14" t="n">
        <v>59</v>
      </c>
      <c r="B63" s="15" t="s">
        <v>245</v>
      </c>
      <c r="C63" s="15" t="s">
        <v>257</v>
      </c>
      <c r="D63" s="14" t="s">
        <v>168</v>
      </c>
      <c r="E63" s="14"/>
      <c r="F63" s="14" t="s">
        <v>258</v>
      </c>
      <c r="G63" s="14" t="s">
        <v>259</v>
      </c>
      <c r="H63" s="16" t="n">
        <v>4</v>
      </c>
      <c r="I63" s="16" t="n">
        <v>0</v>
      </c>
      <c r="J63" s="14" t="s">
        <v>260</v>
      </c>
      <c r="K63" s="14" t="s">
        <v>248</v>
      </c>
    </row>
    <row r="64" customFormat="false" ht="15" hidden="false" customHeight="false" outlineLevel="0" collapsed="false">
      <c r="A64" s="11" t="n">
        <v>60</v>
      </c>
      <c r="B64" s="12" t="s">
        <v>261</v>
      </c>
      <c r="C64" s="12" t="s">
        <v>262</v>
      </c>
      <c r="D64" s="11" t="s">
        <v>82</v>
      </c>
      <c r="E64" s="11" t="s">
        <v>35</v>
      </c>
      <c r="F64" s="11" t="s">
        <v>126</v>
      </c>
      <c r="G64" s="11" t="s">
        <v>229</v>
      </c>
      <c r="H64" s="13" t="n">
        <v>1000</v>
      </c>
      <c r="I64" s="13" t="n">
        <v>0</v>
      </c>
      <c r="J64" s="11" t="s">
        <v>38</v>
      </c>
      <c r="K64" s="11" t="s">
        <v>263</v>
      </c>
    </row>
    <row r="65" customFormat="false" ht="23.85" hidden="false" customHeight="false" outlineLevel="0" collapsed="false">
      <c r="A65" s="11" t="n">
        <v>61</v>
      </c>
      <c r="B65" s="12" t="s">
        <v>261</v>
      </c>
      <c r="C65" s="12" t="s">
        <v>264</v>
      </c>
      <c r="D65" s="11" t="s">
        <v>94</v>
      </c>
      <c r="E65" s="11" t="s">
        <v>130</v>
      </c>
      <c r="F65" s="11" t="s">
        <v>265</v>
      </c>
      <c r="G65" s="11"/>
      <c r="H65" s="13" t="n">
        <v>1000</v>
      </c>
      <c r="I65" s="13" t="n">
        <v>0</v>
      </c>
      <c r="J65" s="11" t="s">
        <v>266</v>
      </c>
      <c r="K65" s="11" t="s">
        <v>263</v>
      </c>
    </row>
    <row r="66" customFormat="false" ht="15" hidden="false" customHeight="false" outlineLevel="0" collapsed="false">
      <c r="A66" s="11" t="n">
        <v>62</v>
      </c>
      <c r="B66" s="12" t="s">
        <v>261</v>
      </c>
      <c r="C66" s="12" t="s">
        <v>46</v>
      </c>
      <c r="D66" s="11" t="s">
        <v>47</v>
      </c>
      <c r="E66" s="11" t="s">
        <v>267</v>
      </c>
      <c r="F66" s="11" t="s">
        <v>268</v>
      </c>
      <c r="G66" s="11" t="s">
        <v>269</v>
      </c>
      <c r="H66" s="13" t="n">
        <v>345</v>
      </c>
      <c r="I66" s="13" t="n">
        <v>0</v>
      </c>
      <c r="J66" s="11" t="s">
        <v>270</v>
      </c>
      <c r="K66" s="11" t="s">
        <v>263</v>
      </c>
    </row>
    <row r="67" customFormat="false" ht="23.85" hidden="false" customHeight="false" outlineLevel="0" collapsed="false">
      <c r="A67" s="11" t="n">
        <v>63</v>
      </c>
      <c r="B67" s="12" t="s">
        <v>261</v>
      </c>
      <c r="C67" s="12" t="s">
        <v>188</v>
      </c>
      <c r="D67" s="11" t="s">
        <v>94</v>
      </c>
      <c r="E67" s="11"/>
      <c r="F67" s="11" t="s">
        <v>271</v>
      </c>
      <c r="G67" s="11"/>
      <c r="H67" s="13" t="n">
        <v>1000</v>
      </c>
      <c r="I67" s="13" t="n">
        <v>0</v>
      </c>
      <c r="J67" s="11" t="s">
        <v>272</v>
      </c>
      <c r="K67" s="11" t="s">
        <v>263</v>
      </c>
    </row>
    <row r="68" customFormat="false" ht="15" hidden="false" customHeight="false" outlineLevel="0" collapsed="false">
      <c r="A68" s="11" t="n">
        <v>64</v>
      </c>
      <c r="B68" s="12" t="s">
        <v>261</v>
      </c>
      <c r="C68" s="12" t="s">
        <v>93</v>
      </c>
      <c r="D68" s="11" t="s">
        <v>94</v>
      </c>
      <c r="E68" s="11"/>
      <c r="F68" s="11" t="s">
        <v>273</v>
      </c>
      <c r="G68" s="11" t="s">
        <v>274</v>
      </c>
      <c r="H68" s="13" t="n">
        <v>2</v>
      </c>
      <c r="I68" s="13" t="n">
        <v>0</v>
      </c>
      <c r="J68" s="11" t="s">
        <v>275</v>
      </c>
      <c r="K68" s="11" t="s">
        <v>263</v>
      </c>
    </row>
    <row r="69" customFormat="false" ht="15" hidden="false" customHeight="false" outlineLevel="0" collapsed="false">
      <c r="A69" s="11" t="n">
        <v>65</v>
      </c>
      <c r="B69" s="12" t="s">
        <v>261</v>
      </c>
      <c r="C69" s="12" t="s">
        <v>98</v>
      </c>
      <c r="D69" s="11" t="s">
        <v>34</v>
      </c>
      <c r="E69" s="11"/>
      <c r="F69" s="11" t="s">
        <v>276</v>
      </c>
      <c r="G69" s="11" t="s">
        <v>277</v>
      </c>
      <c r="H69" s="13" t="n">
        <v>47</v>
      </c>
      <c r="I69" s="13" t="n">
        <v>0</v>
      </c>
      <c r="J69" s="11" t="s">
        <v>278</v>
      </c>
      <c r="K69" s="11" t="s">
        <v>263</v>
      </c>
    </row>
    <row r="70" customFormat="false" ht="15" hidden="false" customHeight="false" outlineLevel="0" collapsed="false">
      <c r="A70" s="11" t="n">
        <v>66</v>
      </c>
      <c r="B70" s="12" t="s">
        <v>261</v>
      </c>
      <c r="C70" s="12" t="s">
        <v>279</v>
      </c>
      <c r="D70" s="11" t="s">
        <v>163</v>
      </c>
      <c r="E70" s="11"/>
      <c r="F70" s="11" t="s">
        <v>280</v>
      </c>
      <c r="G70" s="11" t="s">
        <v>281</v>
      </c>
      <c r="H70" s="13" t="n">
        <v>3</v>
      </c>
      <c r="I70" s="13" t="n">
        <v>0</v>
      </c>
      <c r="J70" s="11" t="s">
        <v>282</v>
      </c>
      <c r="K70" s="11" t="s">
        <v>263</v>
      </c>
    </row>
    <row r="71" customFormat="false" ht="15" hidden="false" customHeight="false" outlineLevel="0" collapsed="false">
      <c r="A71" s="11" t="n">
        <v>67</v>
      </c>
      <c r="B71" s="12" t="s">
        <v>261</v>
      </c>
      <c r="C71" s="12" t="s">
        <v>283</v>
      </c>
      <c r="D71" s="11" t="s">
        <v>47</v>
      </c>
      <c r="E71" s="11"/>
      <c r="F71" s="11" t="s">
        <v>284</v>
      </c>
      <c r="G71" s="11" t="s">
        <v>60</v>
      </c>
      <c r="H71" s="13" t="n">
        <v>4</v>
      </c>
      <c r="I71" s="13" t="n">
        <v>0</v>
      </c>
      <c r="J71" s="11" t="s">
        <v>285</v>
      </c>
      <c r="K71" s="11" t="s">
        <v>263</v>
      </c>
    </row>
    <row r="72" customFormat="false" ht="15" hidden="false" customHeight="false" outlineLevel="0" collapsed="false">
      <c r="A72" s="11" t="n">
        <v>68</v>
      </c>
      <c r="B72" s="12" t="s">
        <v>261</v>
      </c>
      <c r="C72" s="12" t="s">
        <v>241</v>
      </c>
      <c r="D72" s="11" t="s">
        <v>103</v>
      </c>
      <c r="E72" s="11"/>
      <c r="F72" s="11" t="s">
        <v>242</v>
      </c>
      <c r="G72" s="11" t="s">
        <v>286</v>
      </c>
      <c r="H72" s="13" t="n">
        <v>5</v>
      </c>
      <c r="I72" s="13" t="n">
        <v>0</v>
      </c>
      <c r="J72" s="11" t="s">
        <v>287</v>
      </c>
      <c r="K72" s="11" t="s">
        <v>263</v>
      </c>
    </row>
    <row r="73" customFormat="false" ht="15" hidden="false" customHeight="false" outlineLevel="0" collapsed="false">
      <c r="A73" s="11" t="n">
        <v>69</v>
      </c>
      <c r="B73" s="12" t="s">
        <v>261</v>
      </c>
      <c r="C73" s="12" t="s">
        <v>288</v>
      </c>
      <c r="D73" s="11" t="s">
        <v>219</v>
      </c>
      <c r="E73" s="11"/>
      <c r="F73" s="11" t="s">
        <v>289</v>
      </c>
      <c r="G73" s="11" t="s">
        <v>290</v>
      </c>
      <c r="H73" s="13" t="n">
        <v>18</v>
      </c>
      <c r="I73" s="13" t="n">
        <v>0</v>
      </c>
      <c r="J73" s="11" t="s">
        <v>291</v>
      </c>
      <c r="K73" s="11" t="s">
        <v>263</v>
      </c>
    </row>
    <row r="74" customFormat="false" ht="23.85" hidden="false" customHeight="false" outlineLevel="0" collapsed="false">
      <c r="A74" s="11" t="n">
        <v>70</v>
      </c>
      <c r="B74" s="12" t="s">
        <v>261</v>
      </c>
      <c r="C74" s="12" t="s">
        <v>292</v>
      </c>
      <c r="D74" s="11" t="s">
        <v>293</v>
      </c>
      <c r="E74" s="11"/>
      <c r="F74" s="11" t="s">
        <v>294</v>
      </c>
      <c r="G74" s="11" t="s">
        <v>295</v>
      </c>
      <c r="H74" s="13" t="n">
        <v>101</v>
      </c>
      <c r="I74" s="13" t="n">
        <v>1</v>
      </c>
      <c r="J74" s="11" t="s">
        <v>296</v>
      </c>
      <c r="K74" s="11" t="s">
        <v>263</v>
      </c>
    </row>
    <row r="75" customFormat="false" ht="15" hidden="false" customHeight="false" outlineLevel="0" collapsed="false">
      <c r="A75" s="14" t="n">
        <v>71</v>
      </c>
      <c r="B75" s="15" t="s">
        <v>297</v>
      </c>
      <c r="C75" s="15" t="s">
        <v>298</v>
      </c>
      <c r="D75" s="14" t="s">
        <v>82</v>
      </c>
      <c r="E75" s="14" t="s">
        <v>35</v>
      </c>
      <c r="F75" s="14" t="s">
        <v>126</v>
      </c>
      <c r="G75" s="14" t="s">
        <v>229</v>
      </c>
      <c r="H75" s="16" t="n">
        <v>1000</v>
      </c>
      <c r="I75" s="16" t="n">
        <v>0</v>
      </c>
      <c r="J75" s="14" t="s">
        <v>38</v>
      </c>
      <c r="K75" s="14" t="s">
        <v>299</v>
      </c>
    </row>
    <row r="76" customFormat="false" ht="23.85" hidden="false" customHeight="false" outlineLevel="0" collapsed="false">
      <c r="A76" s="14" t="n">
        <v>72</v>
      </c>
      <c r="B76" s="15" t="s">
        <v>297</v>
      </c>
      <c r="C76" s="15" t="s">
        <v>264</v>
      </c>
      <c r="D76" s="14" t="s">
        <v>94</v>
      </c>
      <c r="E76" s="14" t="s">
        <v>130</v>
      </c>
      <c r="F76" s="14" t="s">
        <v>300</v>
      </c>
      <c r="G76" s="14"/>
      <c r="H76" s="16" t="n">
        <v>1000</v>
      </c>
      <c r="I76" s="16" t="n">
        <v>0</v>
      </c>
      <c r="J76" s="14" t="s">
        <v>301</v>
      </c>
      <c r="K76" s="14" t="s">
        <v>299</v>
      </c>
    </row>
    <row r="77" customFormat="false" ht="15" hidden="false" customHeight="false" outlineLevel="0" collapsed="false">
      <c r="A77" s="14" t="n">
        <v>73</v>
      </c>
      <c r="B77" s="15" t="s">
        <v>297</v>
      </c>
      <c r="C77" s="15" t="s">
        <v>46</v>
      </c>
      <c r="D77" s="14" t="s">
        <v>47</v>
      </c>
      <c r="E77" s="14" t="s">
        <v>267</v>
      </c>
      <c r="F77" s="14" t="s">
        <v>302</v>
      </c>
      <c r="G77" s="14" t="s">
        <v>303</v>
      </c>
      <c r="H77" s="16" t="n">
        <v>1000</v>
      </c>
      <c r="I77" s="16" t="n">
        <v>0</v>
      </c>
      <c r="J77" s="14" t="s">
        <v>304</v>
      </c>
      <c r="K77" s="14" t="s">
        <v>299</v>
      </c>
    </row>
    <row r="78" customFormat="false" ht="15" hidden="false" customHeight="false" outlineLevel="0" collapsed="false">
      <c r="A78" s="14" t="n">
        <v>74</v>
      </c>
      <c r="B78" s="15" t="s">
        <v>297</v>
      </c>
      <c r="C78" s="15" t="s">
        <v>305</v>
      </c>
      <c r="D78" s="14" t="s">
        <v>163</v>
      </c>
      <c r="E78" s="14"/>
      <c r="F78" s="14" t="s">
        <v>306</v>
      </c>
      <c r="G78" s="14" t="s">
        <v>307</v>
      </c>
      <c r="H78" s="16" t="n">
        <v>4</v>
      </c>
      <c r="I78" s="16" t="n">
        <v>0</v>
      </c>
      <c r="J78" s="14" t="s">
        <v>308</v>
      </c>
      <c r="K78" s="14" t="s">
        <v>299</v>
      </c>
    </row>
    <row r="79" customFormat="false" ht="23.85" hidden="false" customHeight="false" outlineLevel="0" collapsed="false">
      <c r="A79" s="14" t="n">
        <v>75</v>
      </c>
      <c r="B79" s="15" t="s">
        <v>297</v>
      </c>
      <c r="C79" s="15" t="s">
        <v>309</v>
      </c>
      <c r="D79" s="14" t="s">
        <v>219</v>
      </c>
      <c r="E79" s="14"/>
      <c r="F79" s="14" t="s">
        <v>310</v>
      </c>
      <c r="G79" s="14" t="s">
        <v>311</v>
      </c>
      <c r="H79" s="16" t="n">
        <v>910</v>
      </c>
      <c r="I79" s="16" t="n">
        <v>0</v>
      </c>
      <c r="J79" s="14" t="s">
        <v>312</v>
      </c>
      <c r="K79" s="14" t="s">
        <v>299</v>
      </c>
    </row>
    <row r="80" customFormat="false" ht="15" hidden="false" customHeight="false" outlineLevel="0" collapsed="false">
      <c r="A80" s="14" t="n">
        <v>76</v>
      </c>
      <c r="B80" s="15" t="s">
        <v>297</v>
      </c>
      <c r="C80" s="15" t="s">
        <v>313</v>
      </c>
      <c r="D80" s="14" t="s">
        <v>219</v>
      </c>
      <c r="E80" s="14"/>
      <c r="F80" s="14" t="s">
        <v>314</v>
      </c>
      <c r="G80" s="14" t="s">
        <v>315</v>
      </c>
      <c r="H80" s="16" t="n">
        <v>893</v>
      </c>
      <c r="I80" s="16" t="n">
        <v>0</v>
      </c>
      <c r="J80" s="14" t="s">
        <v>316</v>
      </c>
      <c r="K80" s="14" t="s">
        <v>299</v>
      </c>
    </row>
    <row r="81" customFormat="false" ht="23.85" hidden="false" customHeight="false" outlineLevel="0" collapsed="false">
      <c r="A81" s="14" t="n">
        <v>77</v>
      </c>
      <c r="B81" s="15" t="s">
        <v>297</v>
      </c>
      <c r="C81" s="15" t="s">
        <v>317</v>
      </c>
      <c r="D81" s="14" t="s">
        <v>219</v>
      </c>
      <c r="E81" s="14"/>
      <c r="F81" s="14" t="s">
        <v>318</v>
      </c>
      <c r="G81" s="14" t="s">
        <v>319</v>
      </c>
      <c r="H81" s="16" t="n">
        <v>883</v>
      </c>
      <c r="I81" s="16" t="n">
        <v>0</v>
      </c>
      <c r="J81" s="14" t="s">
        <v>320</v>
      </c>
      <c r="K81" s="14" t="s">
        <v>299</v>
      </c>
    </row>
    <row r="82" customFormat="false" ht="15" hidden="false" customHeight="false" outlineLevel="0" collapsed="false">
      <c r="A82" s="14" t="n">
        <v>78</v>
      </c>
      <c r="B82" s="15" t="s">
        <v>297</v>
      </c>
      <c r="C82" s="15" t="s">
        <v>321</v>
      </c>
      <c r="D82" s="14" t="s">
        <v>219</v>
      </c>
      <c r="E82" s="14"/>
      <c r="F82" s="14" t="s">
        <v>322</v>
      </c>
      <c r="G82" s="14" t="s">
        <v>323</v>
      </c>
      <c r="H82" s="16" t="n">
        <v>907</v>
      </c>
      <c r="I82" s="16" t="n">
        <v>0</v>
      </c>
      <c r="J82" s="14" t="s">
        <v>324</v>
      </c>
      <c r="K82" s="14" t="s">
        <v>299</v>
      </c>
    </row>
    <row r="83" customFormat="false" ht="15" hidden="false" customHeight="false" outlineLevel="0" collapsed="false">
      <c r="A83" s="14" t="n">
        <v>79</v>
      </c>
      <c r="B83" s="15" t="s">
        <v>297</v>
      </c>
      <c r="C83" s="15" t="s">
        <v>107</v>
      </c>
      <c r="D83" s="14" t="s">
        <v>219</v>
      </c>
      <c r="E83" s="14"/>
      <c r="F83" s="14" t="s">
        <v>325</v>
      </c>
      <c r="G83" s="14" t="s">
        <v>326</v>
      </c>
      <c r="H83" s="16" t="n">
        <v>866</v>
      </c>
      <c r="I83" s="16" t="n">
        <v>0</v>
      </c>
      <c r="J83" s="14" t="s">
        <v>327</v>
      </c>
      <c r="K83" s="14" t="s">
        <v>299</v>
      </c>
    </row>
    <row r="84" customFormat="false" ht="23.85" hidden="false" customHeight="false" outlineLevel="0" collapsed="false">
      <c r="A84" s="14" t="n">
        <v>80</v>
      </c>
      <c r="B84" s="15" t="s">
        <v>297</v>
      </c>
      <c r="C84" s="15" t="s">
        <v>328</v>
      </c>
      <c r="D84" s="14" t="s">
        <v>329</v>
      </c>
      <c r="E84" s="14"/>
      <c r="F84" s="14" t="s">
        <v>330</v>
      </c>
      <c r="G84" s="14" t="s">
        <v>331</v>
      </c>
      <c r="H84" s="16" t="n">
        <v>921</v>
      </c>
      <c r="I84" s="16" t="n">
        <v>0</v>
      </c>
      <c r="J84" s="14" t="s">
        <v>332</v>
      </c>
      <c r="K84" s="14" t="s">
        <v>299</v>
      </c>
    </row>
    <row r="85" customFormat="false" ht="15" hidden="false" customHeight="false" outlineLevel="0" collapsed="false">
      <c r="A85" s="14" t="n">
        <v>81</v>
      </c>
      <c r="B85" s="15" t="s">
        <v>297</v>
      </c>
      <c r="C85" s="15" t="s">
        <v>333</v>
      </c>
      <c r="D85" s="14" t="s">
        <v>219</v>
      </c>
      <c r="E85" s="14"/>
      <c r="F85" s="14" t="s">
        <v>334</v>
      </c>
      <c r="G85" s="14" t="s">
        <v>335</v>
      </c>
      <c r="H85" s="16" t="n">
        <v>897</v>
      </c>
      <c r="I85" s="16" t="n">
        <v>0</v>
      </c>
      <c r="J85" s="14" t="s">
        <v>336</v>
      </c>
      <c r="K85" s="14" t="s">
        <v>299</v>
      </c>
    </row>
    <row r="86" customFormat="false" ht="23.85" hidden="false" customHeight="false" outlineLevel="0" collapsed="false">
      <c r="A86" s="14" t="n">
        <v>82</v>
      </c>
      <c r="B86" s="15" t="s">
        <v>297</v>
      </c>
      <c r="C86" s="15" t="s">
        <v>337</v>
      </c>
      <c r="D86" s="14" t="s">
        <v>219</v>
      </c>
      <c r="E86" s="14"/>
      <c r="F86" s="14" t="s">
        <v>338</v>
      </c>
      <c r="G86" s="14" t="s">
        <v>339</v>
      </c>
      <c r="H86" s="16" t="n">
        <v>9</v>
      </c>
      <c r="I86" s="16" t="n">
        <v>0</v>
      </c>
      <c r="J86" s="14" t="s">
        <v>340</v>
      </c>
      <c r="K86" s="14" t="s">
        <v>299</v>
      </c>
    </row>
    <row r="87" customFormat="false" ht="15" hidden="false" customHeight="false" outlineLevel="0" collapsed="false">
      <c r="A87" s="14" t="n">
        <v>83</v>
      </c>
      <c r="B87" s="15" t="s">
        <v>297</v>
      </c>
      <c r="C87" s="15" t="s">
        <v>341</v>
      </c>
      <c r="D87" s="14" t="s">
        <v>116</v>
      </c>
      <c r="E87" s="14"/>
      <c r="F87" s="14" t="s">
        <v>342</v>
      </c>
      <c r="G87" s="14" t="s">
        <v>343</v>
      </c>
      <c r="H87" s="16" t="n">
        <v>802</v>
      </c>
      <c r="I87" s="16" t="n">
        <v>0</v>
      </c>
      <c r="J87" s="14" t="s">
        <v>344</v>
      </c>
      <c r="K87" s="14" t="s">
        <v>299</v>
      </c>
    </row>
    <row r="88" customFormat="false" ht="15" hidden="false" customHeight="false" outlineLevel="0" collapsed="false">
      <c r="A88" s="11" t="n">
        <v>84</v>
      </c>
      <c r="B88" s="12" t="s">
        <v>345</v>
      </c>
      <c r="C88" s="12" t="s">
        <v>346</v>
      </c>
      <c r="D88" s="11" t="s">
        <v>82</v>
      </c>
      <c r="E88" s="11" t="s">
        <v>35</v>
      </c>
      <c r="F88" s="11" t="s">
        <v>126</v>
      </c>
      <c r="G88" s="11" t="s">
        <v>229</v>
      </c>
      <c r="H88" s="13" t="n">
        <v>1000</v>
      </c>
      <c r="I88" s="13" t="n">
        <v>0</v>
      </c>
      <c r="J88" s="11" t="s">
        <v>38</v>
      </c>
      <c r="K88" s="11" t="s">
        <v>347</v>
      </c>
    </row>
    <row r="89" customFormat="false" ht="15" hidden="false" customHeight="false" outlineLevel="0" collapsed="false">
      <c r="A89" s="11" t="n">
        <v>85</v>
      </c>
      <c r="B89" s="12" t="s">
        <v>345</v>
      </c>
      <c r="C89" s="12" t="s">
        <v>348</v>
      </c>
      <c r="D89" s="11" t="s">
        <v>94</v>
      </c>
      <c r="E89" s="11" t="s">
        <v>130</v>
      </c>
      <c r="F89" s="11" t="s">
        <v>349</v>
      </c>
      <c r="G89" s="11"/>
      <c r="H89" s="13" t="n">
        <v>1000</v>
      </c>
      <c r="I89" s="13" t="n">
        <v>0</v>
      </c>
      <c r="J89" s="11" t="s">
        <v>350</v>
      </c>
      <c r="K89" s="11" t="s">
        <v>347</v>
      </c>
    </row>
    <row r="90" customFormat="false" ht="23.85" hidden="false" customHeight="false" outlineLevel="0" collapsed="false">
      <c r="A90" s="11" t="n">
        <v>86</v>
      </c>
      <c r="B90" s="12" t="s">
        <v>345</v>
      </c>
      <c r="C90" s="12" t="s">
        <v>351</v>
      </c>
      <c r="D90" s="11" t="s">
        <v>47</v>
      </c>
      <c r="E90" s="11" t="s">
        <v>267</v>
      </c>
      <c r="F90" s="11" t="s">
        <v>352</v>
      </c>
      <c r="G90" s="11" t="s">
        <v>353</v>
      </c>
      <c r="H90" s="13" t="n">
        <v>8</v>
      </c>
      <c r="I90" s="13" t="n">
        <v>0</v>
      </c>
      <c r="J90" s="11" t="s">
        <v>354</v>
      </c>
      <c r="K90" s="11" t="s">
        <v>347</v>
      </c>
    </row>
    <row r="91" customFormat="false" ht="23.85" hidden="false" customHeight="false" outlineLevel="0" collapsed="false">
      <c r="A91" s="11" t="n">
        <v>87</v>
      </c>
      <c r="B91" s="12" t="s">
        <v>345</v>
      </c>
      <c r="C91" s="12" t="s">
        <v>355</v>
      </c>
      <c r="D91" s="11" t="s">
        <v>47</v>
      </c>
      <c r="E91" s="11" t="s">
        <v>356</v>
      </c>
      <c r="F91" s="11" t="s">
        <v>357</v>
      </c>
      <c r="G91" s="11" t="s">
        <v>353</v>
      </c>
      <c r="H91" s="13" t="n">
        <v>8</v>
      </c>
      <c r="I91" s="13" t="n">
        <v>129</v>
      </c>
      <c r="J91" s="11" t="s">
        <v>358</v>
      </c>
      <c r="K91" s="11" t="s">
        <v>347</v>
      </c>
    </row>
    <row r="92" customFormat="false" ht="15" hidden="false" customHeight="false" outlineLevel="0" collapsed="false">
      <c r="A92" s="11" t="n">
        <v>88</v>
      </c>
      <c r="B92" s="12" t="s">
        <v>345</v>
      </c>
      <c r="C92" s="12" t="s">
        <v>359</v>
      </c>
      <c r="D92" s="11" t="s">
        <v>94</v>
      </c>
      <c r="E92" s="11"/>
      <c r="F92" s="11" t="s">
        <v>360</v>
      </c>
      <c r="G92" s="11" t="s">
        <v>361</v>
      </c>
      <c r="H92" s="13" t="n">
        <v>5</v>
      </c>
      <c r="I92" s="13" t="n">
        <v>0</v>
      </c>
      <c r="J92" s="11" t="s">
        <v>362</v>
      </c>
      <c r="K92" s="11" t="s">
        <v>347</v>
      </c>
    </row>
    <row r="93" customFormat="false" ht="23.85" hidden="false" customHeight="false" outlineLevel="0" collapsed="false">
      <c r="A93" s="11" t="n">
        <v>89</v>
      </c>
      <c r="B93" s="12" t="s">
        <v>345</v>
      </c>
      <c r="C93" s="12" t="s">
        <v>363</v>
      </c>
      <c r="D93" s="11" t="s">
        <v>163</v>
      </c>
      <c r="E93" s="11"/>
      <c r="F93" s="11" t="s">
        <v>364</v>
      </c>
      <c r="G93" s="11" t="s">
        <v>365</v>
      </c>
      <c r="H93" s="13" t="n">
        <v>5</v>
      </c>
      <c r="I93" s="13" t="n">
        <v>0</v>
      </c>
      <c r="J93" s="11" t="s">
        <v>366</v>
      </c>
      <c r="K93" s="11" t="s">
        <v>347</v>
      </c>
    </row>
    <row r="94" customFormat="false" ht="15" hidden="false" customHeight="false" outlineLevel="0" collapsed="false">
      <c r="A94" s="11" t="n">
        <v>90</v>
      </c>
      <c r="B94" s="12" t="s">
        <v>345</v>
      </c>
      <c r="C94" s="12" t="s">
        <v>367</v>
      </c>
      <c r="D94" s="11" t="s">
        <v>168</v>
      </c>
      <c r="E94" s="11"/>
      <c r="F94" s="11" t="s">
        <v>368</v>
      </c>
      <c r="G94" s="11" t="s">
        <v>369</v>
      </c>
      <c r="H94" s="13" t="n">
        <v>3</v>
      </c>
      <c r="I94" s="13" t="n">
        <v>0</v>
      </c>
      <c r="J94" s="11" t="s">
        <v>370</v>
      </c>
      <c r="K94" s="11" t="s">
        <v>347</v>
      </c>
    </row>
    <row r="95" customFormat="false" ht="23.85" hidden="false" customHeight="false" outlineLevel="0" collapsed="false">
      <c r="A95" s="11" t="n">
        <v>91</v>
      </c>
      <c r="B95" s="12" t="s">
        <v>345</v>
      </c>
      <c r="C95" s="12" t="s">
        <v>371</v>
      </c>
      <c r="D95" s="11" t="s">
        <v>163</v>
      </c>
      <c r="E95" s="11"/>
      <c r="F95" s="11" t="s">
        <v>372</v>
      </c>
      <c r="G95" s="11" t="s">
        <v>373</v>
      </c>
      <c r="H95" s="13" t="n">
        <v>4</v>
      </c>
      <c r="I95" s="13" t="n">
        <v>0</v>
      </c>
      <c r="J95" s="11" t="s">
        <v>374</v>
      </c>
      <c r="K95" s="11" t="s">
        <v>347</v>
      </c>
    </row>
    <row r="96" customFormat="false" ht="23.85" hidden="false" customHeight="false" outlineLevel="0" collapsed="false">
      <c r="A96" s="11" t="n">
        <v>92</v>
      </c>
      <c r="B96" s="12" t="s">
        <v>345</v>
      </c>
      <c r="C96" s="12" t="s">
        <v>375</v>
      </c>
      <c r="D96" s="11" t="s">
        <v>146</v>
      </c>
      <c r="E96" s="11"/>
      <c r="F96" s="11" t="s">
        <v>376</v>
      </c>
      <c r="G96" s="11" t="s">
        <v>377</v>
      </c>
      <c r="H96" s="13" t="n">
        <v>362</v>
      </c>
      <c r="I96" s="13" t="n">
        <v>0</v>
      </c>
      <c r="J96" s="11" t="s">
        <v>378</v>
      </c>
      <c r="K96" s="11" t="s">
        <v>347</v>
      </c>
    </row>
    <row r="97" customFormat="false" ht="23.85" hidden="false" customHeight="false" outlineLevel="0" collapsed="false">
      <c r="A97" s="11" t="n">
        <v>93</v>
      </c>
      <c r="B97" s="12" t="s">
        <v>345</v>
      </c>
      <c r="C97" s="12" t="s">
        <v>379</v>
      </c>
      <c r="D97" s="11" t="s">
        <v>146</v>
      </c>
      <c r="E97" s="11"/>
      <c r="F97" s="11" t="s">
        <v>380</v>
      </c>
      <c r="G97" s="11" t="s">
        <v>381</v>
      </c>
      <c r="H97" s="13" t="n">
        <v>101</v>
      </c>
      <c r="I97" s="13" t="n">
        <v>0</v>
      </c>
      <c r="J97" s="11" t="s">
        <v>382</v>
      </c>
      <c r="K97" s="11" t="s">
        <v>347</v>
      </c>
    </row>
    <row r="98" customFormat="false" ht="23.85" hidden="false" customHeight="false" outlineLevel="0" collapsed="false">
      <c r="A98" s="11" t="n">
        <v>94</v>
      </c>
      <c r="B98" s="12" t="s">
        <v>345</v>
      </c>
      <c r="C98" s="12" t="s">
        <v>383</v>
      </c>
      <c r="D98" s="11" t="s">
        <v>146</v>
      </c>
      <c r="E98" s="11"/>
      <c r="F98" s="11" t="s">
        <v>384</v>
      </c>
      <c r="G98" s="11" t="s">
        <v>385</v>
      </c>
      <c r="H98" s="13" t="n">
        <v>702</v>
      </c>
      <c r="I98" s="13" t="n">
        <v>0</v>
      </c>
      <c r="J98" s="11" t="s">
        <v>386</v>
      </c>
      <c r="K98" s="11" t="s">
        <v>347</v>
      </c>
    </row>
    <row r="99" customFormat="false" ht="23.85" hidden="false" customHeight="false" outlineLevel="0" collapsed="false">
      <c r="A99" s="11" t="n">
        <v>95</v>
      </c>
      <c r="B99" s="12" t="s">
        <v>345</v>
      </c>
      <c r="C99" s="12" t="s">
        <v>387</v>
      </c>
      <c r="D99" s="11" t="s">
        <v>388</v>
      </c>
      <c r="E99" s="11"/>
      <c r="F99" s="11" t="s">
        <v>389</v>
      </c>
      <c r="G99" s="11" t="s">
        <v>390</v>
      </c>
      <c r="H99" s="13" t="n">
        <v>20</v>
      </c>
      <c r="I99" s="13" t="n">
        <v>0</v>
      </c>
      <c r="J99" s="11" t="s">
        <v>391</v>
      </c>
      <c r="K99" s="11" t="s">
        <v>347</v>
      </c>
    </row>
    <row r="100" customFormat="false" ht="15" hidden="false" customHeight="false" outlineLevel="0" collapsed="false">
      <c r="A100" s="14" t="n">
        <v>96</v>
      </c>
      <c r="B100" s="15" t="s">
        <v>392</v>
      </c>
      <c r="C100" s="15" t="s">
        <v>393</v>
      </c>
      <c r="D100" s="14" t="s">
        <v>82</v>
      </c>
      <c r="E100" s="14" t="s">
        <v>35</v>
      </c>
      <c r="F100" s="14" t="s">
        <v>126</v>
      </c>
      <c r="G100" s="14" t="s">
        <v>394</v>
      </c>
      <c r="H100" s="16" t="n">
        <v>45839</v>
      </c>
      <c r="I100" s="16" t="n">
        <v>0</v>
      </c>
      <c r="J100" s="14" t="s">
        <v>38</v>
      </c>
      <c r="K100" s="14" t="s">
        <v>395</v>
      </c>
    </row>
    <row r="101" customFormat="false" ht="15" hidden="false" customHeight="false" outlineLevel="0" collapsed="false">
      <c r="A101" s="14" t="n">
        <v>97</v>
      </c>
      <c r="B101" s="15" t="s">
        <v>392</v>
      </c>
      <c r="C101" s="15" t="s">
        <v>396</v>
      </c>
      <c r="D101" s="14" t="s">
        <v>94</v>
      </c>
      <c r="E101" s="14" t="s">
        <v>130</v>
      </c>
      <c r="F101" s="14" t="s">
        <v>397</v>
      </c>
      <c r="G101" s="14"/>
      <c r="H101" s="16" t="n">
        <v>45839</v>
      </c>
      <c r="I101" s="16" t="n">
        <v>0</v>
      </c>
      <c r="J101" s="14" t="s">
        <v>398</v>
      </c>
      <c r="K101" s="14" t="s">
        <v>395</v>
      </c>
    </row>
    <row r="102" customFormat="false" ht="15" hidden="false" customHeight="false" outlineLevel="0" collapsed="false">
      <c r="A102" s="14" t="n">
        <v>98</v>
      </c>
      <c r="B102" s="15" t="s">
        <v>392</v>
      </c>
      <c r="C102" s="15" t="s">
        <v>399</v>
      </c>
      <c r="D102" s="14" t="s">
        <v>47</v>
      </c>
      <c r="E102" s="14" t="s">
        <v>267</v>
      </c>
      <c r="F102" s="14" t="s">
        <v>400</v>
      </c>
      <c r="G102" s="14" t="s">
        <v>401</v>
      </c>
      <c r="H102" s="16" t="n">
        <v>358</v>
      </c>
      <c r="I102" s="16" t="n">
        <v>0</v>
      </c>
      <c r="J102" s="14" t="s">
        <v>402</v>
      </c>
      <c r="K102" s="14" t="s">
        <v>395</v>
      </c>
    </row>
    <row r="103" customFormat="false" ht="15" hidden="false" customHeight="false" outlineLevel="0" collapsed="false">
      <c r="A103" s="14" t="n">
        <v>99</v>
      </c>
      <c r="B103" s="15" t="s">
        <v>392</v>
      </c>
      <c r="C103" s="15" t="s">
        <v>403</v>
      </c>
      <c r="D103" s="14" t="s">
        <v>47</v>
      </c>
      <c r="E103" s="14" t="s">
        <v>356</v>
      </c>
      <c r="F103" s="14" t="s">
        <v>404</v>
      </c>
      <c r="G103" s="14" t="s">
        <v>405</v>
      </c>
      <c r="H103" s="16" t="n">
        <v>303</v>
      </c>
      <c r="I103" s="16" t="n">
        <v>0</v>
      </c>
      <c r="J103" s="14" t="s">
        <v>406</v>
      </c>
      <c r="K103" s="14" t="s">
        <v>395</v>
      </c>
    </row>
    <row r="104" customFormat="false" ht="23.85" hidden="false" customHeight="false" outlineLevel="0" collapsed="false">
      <c r="A104" s="14" t="n">
        <v>100</v>
      </c>
      <c r="B104" s="15" t="s">
        <v>392</v>
      </c>
      <c r="C104" s="15" t="s">
        <v>407</v>
      </c>
      <c r="D104" s="14" t="s">
        <v>47</v>
      </c>
      <c r="E104" s="14" t="s">
        <v>356</v>
      </c>
      <c r="F104" s="14" t="s">
        <v>408</v>
      </c>
      <c r="G104" s="14" t="s">
        <v>409</v>
      </c>
      <c r="H104" s="16" t="n">
        <v>221</v>
      </c>
      <c r="I104" s="16" t="n">
        <v>0</v>
      </c>
      <c r="J104" s="14" t="s">
        <v>410</v>
      </c>
      <c r="K104" s="14" t="s">
        <v>395</v>
      </c>
    </row>
    <row r="105" customFormat="false" ht="23.85" hidden="false" customHeight="false" outlineLevel="0" collapsed="false">
      <c r="A105" s="14" t="n">
        <v>101</v>
      </c>
      <c r="B105" s="15" t="s">
        <v>392</v>
      </c>
      <c r="C105" s="15" t="s">
        <v>411</v>
      </c>
      <c r="D105" s="14" t="s">
        <v>94</v>
      </c>
      <c r="E105" s="14"/>
      <c r="F105" s="14" t="s">
        <v>412</v>
      </c>
      <c r="G105" s="14"/>
      <c r="H105" s="16" t="n">
        <v>69</v>
      </c>
      <c r="I105" s="16" t="n">
        <v>0</v>
      </c>
      <c r="J105" s="14" t="s">
        <v>413</v>
      </c>
      <c r="K105" s="14" t="s">
        <v>395</v>
      </c>
    </row>
    <row r="106" customFormat="false" ht="46.25" hidden="false" customHeight="false" outlineLevel="0" collapsed="false">
      <c r="A106" s="14" t="n">
        <v>102</v>
      </c>
      <c r="B106" s="15" t="s">
        <v>392</v>
      </c>
      <c r="C106" s="15" t="s">
        <v>414</v>
      </c>
      <c r="D106" s="14" t="s">
        <v>87</v>
      </c>
      <c r="E106" s="14"/>
      <c r="F106" s="14" t="s">
        <v>415</v>
      </c>
      <c r="G106" s="14" t="s">
        <v>416</v>
      </c>
      <c r="H106" s="16" t="n">
        <v>8</v>
      </c>
      <c r="I106" s="16" t="n">
        <v>0</v>
      </c>
      <c r="J106" s="14" t="s">
        <v>417</v>
      </c>
      <c r="K106" s="14" t="s">
        <v>395</v>
      </c>
    </row>
    <row r="107" customFormat="false" ht="15" hidden="false" customHeight="false" outlineLevel="0" collapsed="false">
      <c r="A107" s="14" t="n">
        <v>103</v>
      </c>
      <c r="B107" s="15" t="s">
        <v>392</v>
      </c>
      <c r="C107" s="15" t="s">
        <v>418</v>
      </c>
      <c r="D107" s="14" t="s">
        <v>163</v>
      </c>
      <c r="E107" s="14"/>
      <c r="F107" s="14" t="s">
        <v>419</v>
      </c>
      <c r="G107" s="14"/>
      <c r="H107" s="16" t="n">
        <v>30</v>
      </c>
      <c r="I107" s="16" t="n">
        <v>0</v>
      </c>
      <c r="J107" s="14" t="s">
        <v>420</v>
      </c>
      <c r="K107" s="14" t="s">
        <v>395</v>
      </c>
    </row>
    <row r="108" customFormat="false" ht="15" hidden="false" customHeight="false" outlineLevel="0" collapsed="false">
      <c r="A108" s="14" t="n">
        <v>104</v>
      </c>
      <c r="B108" s="15" t="s">
        <v>392</v>
      </c>
      <c r="C108" s="15" t="s">
        <v>200</v>
      </c>
      <c r="D108" s="14" t="s">
        <v>87</v>
      </c>
      <c r="E108" s="14"/>
      <c r="F108" s="14" t="s">
        <v>421</v>
      </c>
      <c r="G108" s="14"/>
      <c r="H108" s="16" t="n">
        <v>63</v>
      </c>
      <c r="I108" s="16" t="n">
        <v>0</v>
      </c>
      <c r="J108" s="14" t="s">
        <v>422</v>
      </c>
      <c r="K108" s="14" t="s">
        <v>395</v>
      </c>
    </row>
    <row r="109" customFormat="false" ht="15" hidden="false" customHeight="false" outlineLevel="0" collapsed="false">
      <c r="A109" s="14" t="n">
        <v>105</v>
      </c>
      <c r="B109" s="15" t="s">
        <v>392</v>
      </c>
      <c r="C109" s="15" t="s">
        <v>423</v>
      </c>
      <c r="D109" s="14" t="s">
        <v>168</v>
      </c>
      <c r="E109" s="14"/>
      <c r="F109" s="14" t="s">
        <v>424</v>
      </c>
      <c r="G109" s="14"/>
      <c r="H109" s="16" t="n">
        <v>153</v>
      </c>
      <c r="I109" s="16" t="n">
        <v>0</v>
      </c>
      <c r="J109" s="14" t="s">
        <v>425</v>
      </c>
      <c r="K109" s="14" t="s">
        <v>395</v>
      </c>
    </row>
    <row r="110" customFormat="false" ht="23.85" hidden="false" customHeight="false" outlineLevel="0" collapsed="false">
      <c r="A110" s="14" t="n">
        <v>106</v>
      </c>
      <c r="B110" s="15" t="s">
        <v>392</v>
      </c>
      <c r="C110" s="15" t="s">
        <v>426</v>
      </c>
      <c r="D110" s="14" t="s">
        <v>427</v>
      </c>
      <c r="E110" s="14"/>
      <c r="F110" s="14" t="s">
        <v>428</v>
      </c>
      <c r="G110" s="14" t="s">
        <v>429</v>
      </c>
      <c r="H110" s="16" t="n">
        <v>2</v>
      </c>
      <c r="I110" s="16" t="n">
        <v>0</v>
      </c>
      <c r="J110" s="14" t="s">
        <v>430</v>
      </c>
      <c r="K110" s="14" t="s">
        <v>395</v>
      </c>
    </row>
    <row r="111" customFormat="false" ht="15" hidden="false" customHeight="false" outlineLevel="0" collapsed="false">
      <c r="A111" s="14" t="n">
        <v>107</v>
      </c>
      <c r="B111" s="15" t="s">
        <v>392</v>
      </c>
      <c r="C111" s="15" t="s">
        <v>431</v>
      </c>
      <c r="D111" s="14" t="s">
        <v>219</v>
      </c>
      <c r="E111" s="14"/>
      <c r="F111" s="14" t="s">
        <v>432</v>
      </c>
      <c r="G111" s="14" t="s">
        <v>433</v>
      </c>
      <c r="H111" s="16" t="n">
        <v>17460</v>
      </c>
      <c r="I111" s="16" t="n">
        <v>0</v>
      </c>
      <c r="J111" s="14" t="s">
        <v>434</v>
      </c>
      <c r="K111" s="14" t="s">
        <v>395</v>
      </c>
    </row>
    <row r="112" customFormat="false" ht="23.85" hidden="false" customHeight="false" outlineLevel="0" collapsed="false">
      <c r="A112" s="14" t="n">
        <v>108</v>
      </c>
      <c r="B112" s="15" t="s">
        <v>392</v>
      </c>
      <c r="C112" s="15" t="s">
        <v>435</v>
      </c>
      <c r="D112" s="14" t="s">
        <v>47</v>
      </c>
      <c r="E112" s="14"/>
      <c r="F112" s="14" t="s">
        <v>436</v>
      </c>
      <c r="G112" s="14" t="s">
        <v>437</v>
      </c>
      <c r="H112" s="16" t="n">
        <v>179</v>
      </c>
      <c r="I112" s="16" t="n">
        <v>0</v>
      </c>
      <c r="J112" s="14" t="s">
        <v>438</v>
      </c>
      <c r="K112" s="14" t="s">
        <v>395</v>
      </c>
    </row>
    <row r="113" customFormat="false" ht="23.85" hidden="false" customHeight="false" outlineLevel="0" collapsed="false">
      <c r="A113" s="14" t="n">
        <v>109</v>
      </c>
      <c r="B113" s="15" t="s">
        <v>392</v>
      </c>
      <c r="C113" s="15" t="s">
        <v>439</v>
      </c>
      <c r="D113" s="14" t="s">
        <v>47</v>
      </c>
      <c r="E113" s="14"/>
      <c r="F113" s="14" t="s">
        <v>440</v>
      </c>
      <c r="G113" s="14" t="s">
        <v>441</v>
      </c>
      <c r="H113" s="16" t="n">
        <v>59</v>
      </c>
      <c r="I113" s="16" t="n">
        <v>0</v>
      </c>
      <c r="J113" s="14" t="s">
        <v>442</v>
      </c>
      <c r="K113" s="14" t="s">
        <v>395</v>
      </c>
    </row>
    <row r="114" customFormat="false" ht="15" hidden="false" customHeight="false" outlineLevel="0" collapsed="false">
      <c r="A114" s="11" t="n">
        <v>110</v>
      </c>
      <c r="B114" s="12" t="s">
        <v>443</v>
      </c>
      <c r="C114" s="12" t="s">
        <v>444</v>
      </c>
      <c r="D114" s="11" t="s">
        <v>82</v>
      </c>
      <c r="E114" s="11" t="s">
        <v>35</v>
      </c>
      <c r="F114" s="11" t="s">
        <v>126</v>
      </c>
      <c r="G114" s="11" t="s">
        <v>445</v>
      </c>
      <c r="H114" s="13" t="n">
        <v>1300</v>
      </c>
      <c r="I114" s="13" t="n">
        <v>0</v>
      </c>
      <c r="J114" s="11" t="s">
        <v>38</v>
      </c>
      <c r="K114" s="11" t="s">
        <v>446</v>
      </c>
    </row>
    <row r="115" customFormat="false" ht="23.85" hidden="false" customHeight="false" outlineLevel="0" collapsed="false">
      <c r="A115" s="11" t="n">
        <v>111</v>
      </c>
      <c r="B115" s="12" t="s">
        <v>443</v>
      </c>
      <c r="C115" s="12" t="s">
        <v>447</v>
      </c>
      <c r="D115" s="11" t="s">
        <v>94</v>
      </c>
      <c r="E115" s="11" t="s">
        <v>130</v>
      </c>
      <c r="F115" s="11" t="s">
        <v>448</v>
      </c>
      <c r="G115" s="11"/>
      <c r="H115" s="13" t="n">
        <v>1300</v>
      </c>
      <c r="I115" s="13" t="n">
        <v>0</v>
      </c>
      <c r="J115" s="11" t="s">
        <v>449</v>
      </c>
      <c r="K115" s="11" t="s">
        <v>446</v>
      </c>
    </row>
    <row r="116" customFormat="false" ht="15" hidden="false" customHeight="false" outlineLevel="0" collapsed="false">
      <c r="A116" s="11" t="n">
        <v>112</v>
      </c>
      <c r="B116" s="12" t="s">
        <v>443</v>
      </c>
      <c r="C116" s="12" t="s">
        <v>450</v>
      </c>
      <c r="D116" s="11" t="s">
        <v>47</v>
      </c>
      <c r="E116" s="11" t="s">
        <v>267</v>
      </c>
      <c r="F116" s="11" t="s">
        <v>451</v>
      </c>
      <c r="G116" s="11" t="s">
        <v>452</v>
      </c>
      <c r="H116" s="13" t="n">
        <v>608</v>
      </c>
      <c r="I116" s="13" t="n">
        <v>0</v>
      </c>
      <c r="J116" s="11" t="s">
        <v>453</v>
      </c>
      <c r="K116" s="11" t="s">
        <v>446</v>
      </c>
    </row>
    <row r="117" customFormat="false" ht="23.85" hidden="false" customHeight="false" outlineLevel="0" collapsed="false">
      <c r="A117" s="11" t="n">
        <v>113</v>
      </c>
      <c r="B117" s="12" t="s">
        <v>443</v>
      </c>
      <c r="C117" s="12" t="s">
        <v>454</v>
      </c>
      <c r="D117" s="11" t="s">
        <v>47</v>
      </c>
      <c r="E117" s="11" t="s">
        <v>356</v>
      </c>
      <c r="F117" s="11" t="s">
        <v>455</v>
      </c>
      <c r="G117" s="11" t="s">
        <v>456</v>
      </c>
      <c r="H117" s="13" t="n">
        <v>595</v>
      </c>
      <c r="I117" s="13" t="n">
        <v>0</v>
      </c>
      <c r="J117" s="11" t="s">
        <v>457</v>
      </c>
      <c r="K117" s="11" t="s">
        <v>446</v>
      </c>
    </row>
    <row r="118" customFormat="false" ht="23.85" hidden="false" customHeight="false" outlineLevel="0" collapsed="false">
      <c r="A118" s="11" t="n">
        <v>114</v>
      </c>
      <c r="B118" s="12" t="s">
        <v>443</v>
      </c>
      <c r="C118" s="12" t="s">
        <v>177</v>
      </c>
      <c r="D118" s="11" t="s">
        <v>47</v>
      </c>
      <c r="E118" s="11" t="s">
        <v>458</v>
      </c>
      <c r="F118" s="11" t="s">
        <v>459</v>
      </c>
      <c r="G118" s="11" t="s">
        <v>178</v>
      </c>
      <c r="H118" s="13" t="n">
        <v>10</v>
      </c>
      <c r="I118" s="13" t="n">
        <v>0</v>
      </c>
      <c r="J118" s="11" t="s">
        <v>183</v>
      </c>
      <c r="K118" s="11" t="s">
        <v>446</v>
      </c>
    </row>
    <row r="119" customFormat="false" ht="57.45" hidden="false" customHeight="false" outlineLevel="0" collapsed="false">
      <c r="A119" s="11" t="n">
        <v>115</v>
      </c>
      <c r="B119" s="12" t="s">
        <v>443</v>
      </c>
      <c r="C119" s="12" t="s">
        <v>460</v>
      </c>
      <c r="D119" s="11" t="s">
        <v>192</v>
      </c>
      <c r="E119" s="11"/>
      <c r="F119" s="11" t="s">
        <v>461</v>
      </c>
      <c r="G119" s="11" t="s">
        <v>462</v>
      </c>
      <c r="H119" s="13" t="n">
        <v>10</v>
      </c>
      <c r="I119" s="13" t="n">
        <v>0</v>
      </c>
      <c r="J119" s="11" t="s">
        <v>463</v>
      </c>
      <c r="K119" s="11" t="s">
        <v>446</v>
      </c>
    </row>
    <row r="120" customFormat="false" ht="15" hidden="false" customHeight="false" outlineLevel="0" collapsed="false">
      <c r="A120" s="11" t="n">
        <v>116</v>
      </c>
      <c r="B120" s="12" t="s">
        <v>443</v>
      </c>
      <c r="C120" s="12" t="s">
        <v>231</v>
      </c>
      <c r="D120" s="11" t="s">
        <v>94</v>
      </c>
      <c r="E120" s="11"/>
      <c r="F120" s="11" t="s">
        <v>464</v>
      </c>
      <c r="G120" s="11"/>
      <c r="H120" s="13" t="n">
        <v>15</v>
      </c>
      <c r="I120" s="13" t="n">
        <v>0</v>
      </c>
      <c r="J120" s="11" t="s">
        <v>465</v>
      </c>
      <c r="K120" s="11" t="s">
        <v>446</v>
      </c>
    </row>
    <row r="121" customFormat="false" ht="15" hidden="false" customHeight="false" outlineLevel="0" collapsed="false">
      <c r="A121" s="11" t="n">
        <v>117</v>
      </c>
      <c r="B121" s="12" t="s">
        <v>443</v>
      </c>
      <c r="C121" s="12" t="s">
        <v>234</v>
      </c>
      <c r="D121" s="11" t="s">
        <v>192</v>
      </c>
      <c r="E121" s="11"/>
      <c r="F121" s="11" t="s">
        <v>235</v>
      </c>
      <c r="G121" s="11"/>
      <c r="H121" s="13" t="n">
        <v>15</v>
      </c>
      <c r="I121" s="13" t="n">
        <v>0</v>
      </c>
      <c r="J121" s="11" t="s">
        <v>466</v>
      </c>
      <c r="K121" s="11" t="s">
        <v>446</v>
      </c>
    </row>
    <row r="122" customFormat="false" ht="23.85" hidden="false" customHeight="false" outlineLevel="0" collapsed="false">
      <c r="A122" s="11" t="n">
        <v>118</v>
      </c>
      <c r="B122" s="12" t="s">
        <v>443</v>
      </c>
      <c r="C122" s="12" t="s">
        <v>467</v>
      </c>
      <c r="D122" s="11" t="s">
        <v>168</v>
      </c>
      <c r="E122" s="11"/>
      <c r="F122" s="11" t="s">
        <v>468</v>
      </c>
      <c r="G122" s="11" t="s">
        <v>469</v>
      </c>
      <c r="H122" s="13" t="n">
        <v>4</v>
      </c>
      <c r="I122" s="13" t="n">
        <v>0</v>
      </c>
      <c r="J122" s="11" t="s">
        <v>470</v>
      </c>
      <c r="K122" s="11" t="s">
        <v>446</v>
      </c>
    </row>
    <row r="123" customFormat="false" ht="15" hidden="false" customHeight="false" outlineLevel="0" collapsed="false">
      <c r="A123" s="11" t="n">
        <v>119</v>
      </c>
      <c r="B123" s="12" t="s">
        <v>443</v>
      </c>
      <c r="C123" s="12" t="s">
        <v>283</v>
      </c>
      <c r="D123" s="11" t="s">
        <v>47</v>
      </c>
      <c r="E123" s="11"/>
      <c r="F123" s="11" t="s">
        <v>471</v>
      </c>
      <c r="G123" s="11" t="s">
        <v>472</v>
      </c>
      <c r="H123" s="13" t="n">
        <v>141</v>
      </c>
      <c r="I123" s="13" t="n">
        <v>0</v>
      </c>
      <c r="J123" s="11" t="s">
        <v>473</v>
      </c>
      <c r="K123" s="11" t="s">
        <v>446</v>
      </c>
    </row>
    <row r="124" customFormat="false" ht="15" hidden="false" customHeight="false" outlineLevel="0" collapsed="false">
      <c r="A124" s="11" t="n">
        <v>120</v>
      </c>
      <c r="B124" s="12" t="s">
        <v>443</v>
      </c>
      <c r="C124" s="12" t="s">
        <v>474</v>
      </c>
      <c r="D124" s="11" t="s">
        <v>103</v>
      </c>
      <c r="E124" s="11"/>
      <c r="F124" s="11" t="s">
        <v>475</v>
      </c>
      <c r="G124" s="11" t="s">
        <v>476</v>
      </c>
      <c r="H124" s="13" t="n">
        <v>1300</v>
      </c>
      <c r="I124" s="13" t="n">
        <v>0</v>
      </c>
      <c r="J124" s="11" t="s">
        <v>477</v>
      </c>
      <c r="K124" s="11" t="s">
        <v>446</v>
      </c>
    </row>
    <row r="125" customFormat="false" ht="23.85" hidden="false" customHeight="false" outlineLevel="0" collapsed="false">
      <c r="A125" s="11" t="n">
        <v>121</v>
      </c>
      <c r="B125" s="12" t="s">
        <v>443</v>
      </c>
      <c r="C125" s="12" t="s">
        <v>478</v>
      </c>
      <c r="D125" s="11" t="s">
        <v>219</v>
      </c>
      <c r="E125" s="11"/>
      <c r="F125" s="11" t="s">
        <v>479</v>
      </c>
      <c r="G125" s="11" t="s">
        <v>480</v>
      </c>
      <c r="H125" s="13" t="n">
        <v>1300</v>
      </c>
      <c r="I125" s="13" t="n">
        <v>0</v>
      </c>
      <c r="J125" s="11" t="s">
        <v>481</v>
      </c>
      <c r="K125" s="11" t="s">
        <v>446</v>
      </c>
    </row>
    <row r="126" customFormat="false" ht="15" hidden="false" customHeight="false" outlineLevel="0" collapsed="false">
      <c r="A126" s="14" t="n">
        <v>122</v>
      </c>
      <c r="B126" s="15" t="s">
        <v>482</v>
      </c>
      <c r="C126" s="15" t="s">
        <v>483</v>
      </c>
      <c r="D126" s="14" t="s">
        <v>82</v>
      </c>
      <c r="E126" s="14" t="s">
        <v>35</v>
      </c>
      <c r="F126" s="14" t="s">
        <v>126</v>
      </c>
      <c r="G126" s="14" t="s">
        <v>247</v>
      </c>
      <c r="H126" s="16" t="n">
        <v>3204</v>
      </c>
      <c r="I126" s="16" t="n">
        <v>0</v>
      </c>
      <c r="J126" s="14" t="s">
        <v>38</v>
      </c>
      <c r="K126" s="14" t="s">
        <v>484</v>
      </c>
    </row>
    <row r="127" customFormat="false" ht="15" hidden="false" customHeight="false" outlineLevel="0" collapsed="false">
      <c r="A127" s="14" t="n">
        <v>123</v>
      </c>
      <c r="B127" s="15" t="s">
        <v>482</v>
      </c>
      <c r="C127" s="15" t="s">
        <v>46</v>
      </c>
      <c r="D127" s="14" t="s">
        <v>47</v>
      </c>
      <c r="E127" s="14" t="s">
        <v>267</v>
      </c>
      <c r="F127" s="14" t="s">
        <v>485</v>
      </c>
      <c r="G127" s="14" t="s">
        <v>486</v>
      </c>
      <c r="H127" s="16" t="n">
        <v>364</v>
      </c>
      <c r="I127" s="16" t="n">
        <v>0</v>
      </c>
      <c r="J127" s="14" t="s">
        <v>487</v>
      </c>
      <c r="K127" s="14" t="s">
        <v>484</v>
      </c>
    </row>
    <row r="128" customFormat="false" ht="35.05" hidden="false" customHeight="false" outlineLevel="0" collapsed="false">
      <c r="A128" s="14" t="n">
        <v>124</v>
      </c>
      <c r="B128" s="15" t="s">
        <v>482</v>
      </c>
      <c r="C128" s="15" t="s">
        <v>246</v>
      </c>
      <c r="D128" s="14" t="s">
        <v>47</v>
      </c>
      <c r="E128" s="14" t="s">
        <v>488</v>
      </c>
      <c r="F128" s="14" t="s">
        <v>489</v>
      </c>
      <c r="G128" s="14" t="s">
        <v>247</v>
      </c>
      <c r="H128" s="16" t="n">
        <v>3204</v>
      </c>
      <c r="I128" s="16" t="n">
        <v>0</v>
      </c>
      <c r="J128" s="14" t="s">
        <v>250</v>
      </c>
      <c r="K128" s="14" t="s">
        <v>484</v>
      </c>
    </row>
    <row r="129" customFormat="false" ht="15" hidden="false" customHeight="false" outlineLevel="0" collapsed="false">
      <c r="A129" s="14" t="n">
        <v>125</v>
      </c>
      <c r="B129" s="15" t="s">
        <v>482</v>
      </c>
      <c r="C129" s="15" t="s">
        <v>490</v>
      </c>
      <c r="D129" s="14" t="s">
        <v>47</v>
      </c>
      <c r="E129" s="14"/>
      <c r="F129" s="14" t="s">
        <v>491</v>
      </c>
      <c r="G129" s="14" t="s">
        <v>492</v>
      </c>
      <c r="H129" s="16" t="n">
        <v>479</v>
      </c>
      <c r="I129" s="16" t="n">
        <v>0</v>
      </c>
      <c r="J129" s="14" t="s">
        <v>493</v>
      </c>
      <c r="K129" s="14" t="s">
        <v>484</v>
      </c>
    </row>
    <row r="130" customFormat="false" ht="15" hidden="false" customHeight="false" outlineLevel="0" collapsed="false">
      <c r="A130" s="14" t="n">
        <v>126</v>
      </c>
      <c r="B130" s="15" t="s">
        <v>482</v>
      </c>
      <c r="C130" s="15" t="s">
        <v>494</v>
      </c>
      <c r="D130" s="14" t="s">
        <v>47</v>
      </c>
      <c r="E130" s="14"/>
      <c r="F130" s="14" t="s">
        <v>495</v>
      </c>
      <c r="G130" s="14" t="s">
        <v>496</v>
      </c>
      <c r="H130" s="16" t="n">
        <v>90</v>
      </c>
      <c r="I130" s="16" t="n">
        <v>0</v>
      </c>
      <c r="J130" s="14" t="s">
        <v>497</v>
      </c>
      <c r="K130" s="14" t="s">
        <v>484</v>
      </c>
    </row>
    <row r="131" customFormat="false" ht="15" hidden="false" customHeight="false" outlineLevel="0" collapsed="false">
      <c r="A131" s="14" t="n">
        <v>127</v>
      </c>
      <c r="B131" s="15" t="s">
        <v>482</v>
      </c>
      <c r="C131" s="15" t="s">
        <v>498</v>
      </c>
      <c r="D131" s="14" t="s">
        <v>34</v>
      </c>
      <c r="E131" s="14"/>
      <c r="F131" s="14" t="s">
        <v>499</v>
      </c>
      <c r="G131" s="14" t="s">
        <v>500</v>
      </c>
      <c r="H131" s="16" t="n">
        <v>8</v>
      </c>
      <c r="I131" s="16" t="n">
        <v>0</v>
      </c>
      <c r="J131" s="14" t="s">
        <v>501</v>
      </c>
      <c r="K131" s="14" t="s">
        <v>484</v>
      </c>
    </row>
    <row r="132" customFormat="false" ht="15" hidden="false" customHeight="false" outlineLevel="0" collapsed="false">
      <c r="A132" s="14" t="n">
        <v>128</v>
      </c>
      <c r="B132" s="15" t="s">
        <v>482</v>
      </c>
      <c r="C132" s="15" t="s">
        <v>502</v>
      </c>
      <c r="D132" s="14" t="s">
        <v>146</v>
      </c>
      <c r="E132" s="14"/>
      <c r="F132" s="14" t="s">
        <v>503</v>
      </c>
      <c r="G132" s="14" t="s">
        <v>504</v>
      </c>
      <c r="H132" s="16" t="n">
        <v>2375</v>
      </c>
      <c r="I132" s="16" t="n">
        <v>0</v>
      </c>
      <c r="J132" s="14" t="s">
        <v>505</v>
      </c>
      <c r="K132" s="14" t="s">
        <v>484</v>
      </c>
    </row>
    <row r="133" customFormat="false" ht="15" hidden="false" customHeight="false" outlineLevel="0" collapsed="false">
      <c r="A133" s="14" t="n">
        <v>129</v>
      </c>
      <c r="B133" s="15" t="s">
        <v>482</v>
      </c>
      <c r="C133" s="15" t="s">
        <v>506</v>
      </c>
      <c r="D133" s="14" t="s">
        <v>146</v>
      </c>
      <c r="E133" s="14"/>
      <c r="F133" s="14" t="s">
        <v>507</v>
      </c>
      <c r="G133" s="14" t="s">
        <v>508</v>
      </c>
      <c r="H133" s="16" t="n">
        <v>170</v>
      </c>
      <c r="I133" s="16" t="n">
        <v>0</v>
      </c>
      <c r="J133" s="14" t="s">
        <v>509</v>
      </c>
      <c r="K133" s="14" t="s">
        <v>484</v>
      </c>
    </row>
    <row r="134" customFormat="false" ht="23.85" hidden="false" customHeight="false" outlineLevel="0" collapsed="false">
      <c r="A134" s="14" t="n">
        <v>130</v>
      </c>
      <c r="B134" s="15" t="s">
        <v>482</v>
      </c>
      <c r="C134" s="15" t="s">
        <v>510</v>
      </c>
      <c r="D134" s="14" t="s">
        <v>146</v>
      </c>
      <c r="E134" s="14"/>
      <c r="F134" s="14" t="s">
        <v>511</v>
      </c>
      <c r="G134" s="14" t="s">
        <v>512</v>
      </c>
      <c r="H134" s="16" t="n">
        <v>451</v>
      </c>
      <c r="I134" s="16" t="n">
        <v>0</v>
      </c>
      <c r="J134" s="14" t="s">
        <v>513</v>
      </c>
      <c r="K134" s="14" t="s">
        <v>484</v>
      </c>
    </row>
    <row r="135" customFormat="false" ht="15" hidden="false" customHeight="false" outlineLevel="0" collapsed="false">
      <c r="A135" s="14" t="n">
        <v>131</v>
      </c>
      <c r="B135" s="15" t="s">
        <v>482</v>
      </c>
      <c r="C135" s="15" t="s">
        <v>514</v>
      </c>
      <c r="D135" s="14" t="s">
        <v>103</v>
      </c>
      <c r="E135" s="14"/>
      <c r="F135" s="14" t="s">
        <v>515</v>
      </c>
      <c r="G135" s="14" t="s">
        <v>516</v>
      </c>
      <c r="H135" s="16" t="n">
        <v>2962</v>
      </c>
      <c r="I135" s="16" t="n">
        <v>0</v>
      </c>
      <c r="J135" s="14" t="s">
        <v>517</v>
      </c>
      <c r="K135" s="14" t="s">
        <v>484</v>
      </c>
    </row>
    <row r="136" customFormat="false" ht="23.85" hidden="false" customHeight="false" outlineLevel="0" collapsed="false">
      <c r="A136" s="14" t="n">
        <v>132</v>
      </c>
      <c r="B136" s="15" t="s">
        <v>482</v>
      </c>
      <c r="C136" s="15" t="s">
        <v>518</v>
      </c>
      <c r="D136" s="14" t="s">
        <v>519</v>
      </c>
      <c r="E136" s="14"/>
      <c r="F136" s="14" t="s">
        <v>520</v>
      </c>
      <c r="G136" s="14" t="s">
        <v>521</v>
      </c>
      <c r="H136" s="16" t="n">
        <v>191</v>
      </c>
      <c r="I136" s="16" t="n">
        <v>0</v>
      </c>
      <c r="J136" s="14" t="s">
        <v>522</v>
      </c>
      <c r="K136" s="14" t="s">
        <v>484</v>
      </c>
    </row>
    <row r="137" customFormat="false" ht="23.85" hidden="false" customHeight="false" outlineLevel="0" collapsed="false">
      <c r="A137" s="14" t="n">
        <v>133</v>
      </c>
      <c r="B137" s="15" t="s">
        <v>482</v>
      </c>
      <c r="C137" s="15" t="s">
        <v>523</v>
      </c>
      <c r="D137" s="14" t="s">
        <v>34</v>
      </c>
      <c r="E137" s="14"/>
      <c r="F137" s="14" t="s">
        <v>524</v>
      </c>
      <c r="G137" s="14" t="s">
        <v>152</v>
      </c>
      <c r="H137" s="16" t="n">
        <v>10</v>
      </c>
      <c r="I137" s="16" t="n">
        <v>0</v>
      </c>
      <c r="J137" s="14" t="s">
        <v>525</v>
      </c>
      <c r="K137" s="14" t="s">
        <v>484</v>
      </c>
    </row>
    <row r="138" customFormat="false" ht="15" hidden="false" customHeight="false" outlineLevel="0" collapsed="false">
      <c r="A138" s="14" t="n">
        <v>134</v>
      </c>
      <c r="B138" s="15" t="s">
        <v>482</v>
      </c>
      <c r="C138" s="15" t="s">
        <v>526</v>
      </c>
      <c r="D138" s="14" t="s">
        <v>116</v>
      </c>
      <c r="E138" s="14"/>
      <c r="F138" s="14" t="s">
        <v>527</v>
      </c>
      <c r="G138" s="14" t="s">
        <v>528</v>
      </c>
      <c r="H138" s="16" t="n">
        <v>31</v>
      </c>
      <c r="I138" s="16" t="n">
        <v>0</v>
      </c>
      <c r="J138" s="14" t="s">
        <v>529</v>
      </c>
      <c r="K138" s="14" t="s">
        <v>484</v>
      </c>
    </row>
    <row r="139" customFormat="false" ht="23.85" hidden="false" customHeight="false" outlineLevel="0" collapsed="false">
      <c r="A139" s="14" t="n">
        <v>135</v>
      </c>
      <c r="B139" s="15" t="s">
        <v>482</v>
      </c>
      <c r="C139" s="15" t="s">
        <v>530</v>
      </c>
      <c r="D139" s="14" t="s">
        <v>34</v>
      </c>
      <c r="E139" s="14"/>
      <c r="F139" s="14" t="s">
        <v>531</v>
      </c>
      <c r="G139" s="14" t="s">
        <v>532</v>
      </c>
      <c r="H139" s="16" t="n">
        <v>922</v>
      </c>
      <c r="I139" s="16" t="n">
        <v>0</v>
      </c>
      <c r="J139" s="14" t="s">
        <v>533</v>
      </c>
      <c r="K139" s="14" t="s">
        <v>484</v>
      </c>
    </row>
    <row r="140" customFormat="false" ht="15" hidden="false" customHeight="false" outlineLevel="0" collapsed="false">
      <c r="A140" s="14" t="n">
        <v>136</v>
      </c>
      <c r="B140" s="15" t="s">
        <v>482</v>
      </c>
      <c r="C140" s="15" t="s">
        <v>534</v>
      </c>
      <c r="D140" s="14" t="s">
        <v>519</v>
      </c>
      <c r="E140" s="14"/>
      <c r="F140" s="14" t="s">
        <v>535</v>
      </c>
      <c r="G140" s="14" t="s">
        <v>536</v>
      </c>
      <c r="H140" s="16" t="n">
        <v>1250</v>
      </c>
      <c r="I140" s="16" t="n">
        <v>0</v>
      </c>
      <c r="J140" s="14" t="s">
        <v>537</v>
      </c>
      <c r="K140" s="14" t="s">
        <v>484</v>
      </c>
    </row>
    <row r="141" customFormat="false" ht="23.85" hidden="false" customHeight="false" outlineLevel="0" collapsed="false">
      <c r="A141" s="14" t="n">
        <v>137</v>
      </c>
      <c r="B141" s="15" t="s">
        <v>482</v>
      </c>
      <c r="C141" s="15" t="s">
        <v>538</v>
      </c>
      <c r="D141" s="14" t="s">
        <v>146</v>
      </c>
      <c r="E141" s="14"/>
      <c r="F141" s="14" t="s">
        <v>539</v>
      </c>
      <c r="G141" s="14" t="s">
        <v>540</v>
      </c>
      <c r="H141" s="16" t="n">
        <v>3009</v>
      </c>
      <c r="I141" s="16" t="n">
        <v>0</v>
      </c>
      <c r="J141" s="14" t="s">
        <v>541</v>
      </c>
      <c r="K141" s="14" t="s">
        <v>484</v>
      </c>
    </row>
    <row r="142" customFormat="false" ht="23.85" hidden="false" customHeight="false" outlineLevel="0" collapsed="false">
      <c r="A142" s="14" t="n">
        <v>138</v>
      </c>
      <c r="B142" s="15" t="s">
        <v>482</v>
      </c>
      <c r="C142" s="15" t="s">
        <v>542</v>
      </c>
      <c r="D142" s="14" t="s">
        <v>116</v>
      </c>
      <c r="E142" s="14"/>
      <c r="F142" s="14" t="s">
        <v>543</v>
      </c>
      <c r="G142" s="14" t="s">
        <v>544</v>
      </c>
      <c r="H142" s="16" t="n">
        <v>519</v>
      </c>
      <c r="I142" s="16" t="n">
        <v>0</v>
      </c>
      <c r="J142" s="14" t="s">
        <v>545</v>
      </c>
      <c r="K142" s="14" t="s">
        <v>484</v>
      </c>
    </row>
    <row r="143" customFormat="false" ht="23.85" hidden="false" customHeight="false" outlineLevel="0" collapsed="false">
      <c r="A143" s="11" t="n">
        <v>139</v>
      </c>
      <c r="B143" s="12" t="s">
        <v>546</v>
      </c>
      <c r="C143" s="12" t="s">
        <v>228</v>
      </c>
      <c r="D143" s="11" t="s">
        <v>47</v>
      </c>
      <c r="E143" s="11" t="s">
        <v>547</v>
      </c>
      <c r="F143" s="11" t="s">
        <v>548</v>
      </c>
      <c r="G143" s="11" t="s">
        <v>229</v>
      </c>
      <c r="H143" s="13" t="n">
        <v>1000</v>
      </c>
      <c r="I143" s="13" t="n">
        <v>0</v>
      </c>
      <c r="J143" s="11" t="s">
        <v>233</v>
      </c>
      <c r="K143" s="11" t="s">
        <v>549</v>
      </c>
    </row>
    <row r="144" customFormat="false" ht="15" hidden="false" customHeight="false" outlineLevel="0" collapsed="false">
      <c r="A144" s="11" t="n">
        <v>140</v>
      </c>
      <c r="B144" s="12" t="s">
        <v>546</v>
      </c>
      <c r="C144" s="12" t="s">
        <v>33</v>
      </c>
      <c r="D144" s="11" t="s">
        <v>34</v>
      </c>
      <c r="E144" s="11" t="s">
        <v>550</v>
      </c>
      <c r="F144" s="11" t="s">
        <v>551</v>
      </c>
      <c r="G144" s="11" t="s">
        <v>37</v>
      </c>
      <c r="H144" s="13" t="n">
        <v>12</v>
      </c>
      <c r="I144" s="13" t="n">
        <v>0</v>
      </c>
      <c r="J144" s="11" t="s">
        <v>38</v>
      </c>
      <c r="K144" s="11" t="s">
        <v>549</v>
      </c>
    </row>
    <row r="145" customFormat="false" ht="23.85" hidden="false" customHeight="false" outlineLevel="0" collapsed="false">
      <c r="A145" s="11" t="n">
        <v>141</v>
      </c>
      <c r="B145" s="12" t="s">
        <v>546</v>
      </c>
      <c r="C145" s="12" t="s">
        <v>552</v>
      </c>
      <c r="D145" s="11" t="s">
        <v>47</v>
      </c>
      <c r="E145" s="11"/>
      <c r="F145" s="11" t="s">
        <v>553</v>
      </c>
      <c r="G145" s="11" t="s">
        <v>554</v>
      </c>
      <c r="H145" s="13" t="n">
        <v>3789</v>
      </c>
      <c r="I145" s="13" t="n">
        <v>0</v>
      </c>
      <c r="J145" s="11" t="s">
        <v>555</v>
      </c>
      <c r="K145" s="11" t="s">
        <v>549</v>
      </c>
    </row>
  </sheetData>
  <autoFilter ref="A4:K1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70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42"/>
  </cols>
  <sheetData>
    <row r="1" customFormat="false" ht="17.35" hidden="false" customHeight="false" outlineLevel="0" collapsed="false">
      <c r="A1" s="8" t="s">
        <v>556</v>
      </c>
    </row>
    <row r="2" customFormat="false" ht="15" hidden="false" customHeight="false" outlineLevel="0" collapsed="false">
      <c r="A2" s="9" t="s">
        <v>557</v>
      </c>
    </row>
    <row r="4" customFormat="false" ht="30" hidden="false" customHeight="true" outlineLevel="0" collapsed="false">
      <c r="A4" s="10" t="s">
        <v>21</v>
      </c>
      <c r="B4" s="10" t="s">
        <v>22</v>
      </c>
      <c r="C4" s="10" t="s">
        <v>558</v>
      </c>
      <c r="D4" s="10" t="s">
        <v>26</v>
      </c>
      <c r="E4" s="10" t="s">
        <v>559</v>
      </c>
      <c r="F4" s="10" t="s">
        <v>560</v>
      </c>
      <c r="G4" s="10" t="s">
        <v>561</v>
      </c>
      <c r="H4" s="10" t="s">
        <v>562</v>
      </c>
    </row>
    <row r="5" customFormat="false" ht="15" hidden="false" customHeight="false" outlineLevel="0" collapsed="false">
      <c r="A5" s="11" t="n">
        <v>1</v>
      </c>
      <c r="B5" s="12" t="s">
        <v>32</v>
      </c>
      <c r="C5" s="11" t="s">
        <v>563</v>
      </c>
      <c r="D5" s="11" t="s">
        <v>564</v>
      </c>
      <c r="E5" s="11" t="s">
        <v>33</v>
      </c>
      <c r="F5" s="13" t="n">
        <v>12</v>
      </c>
      <c r="G5" s="13" t="n">
        <f aca="false">COUNTIF(Columns!$B$5:$B$145,B5)</f>
        <v>2</v>
      </c>
      <c r="H5" s="11" t="s">
        <v>565</v>
      </c>
    </row>
    <row r="6" customFormat="false" ht="23.85" hidden="false" customHeight="false" outlineLevel="0" collapsed="false">
      <c r="A6" s="14" t="n">
        <v>2</v>
      </c>
      <c r="B6" s="15" t="s">
        <v>45</v>
      </c>
      <c r="C6" s="14" t="s">
        <v>563</v>
      </c>
      <c r="D6" s="14" t="s">
        <v>566</v>
      </c>
      <c r="E6" s="14" t="s">
        <v>46</v>
      </c>
      <c r="F6" s="16" t="n">
        <v>6209</v>
      </c>
      <c r="G6" s="16" t="n">
        <f aca="false">COUNTIF(Columns!$B$5:$B$145,B6)</f>
        <v>11</v>
      </c>
      <c r="H6" s="14" t="s">
        <v>565</v>
      </c>
    </row>
    <row r="7" customFormat="false" ht="15" hidden="false" customHeight="false" outlineLevel="0" collapsed="false">
      <c r="A7" s="11" t="n">
        <v>3</v>
      </c>
      <c r="B7" s="12" t="s">
        <v>80</v>
      </c>
      <c r="C7" s="11" t="s">
        <v>563</v>
      </c>
      <c r="D7" s="11" t="s">
        <v>567</v>
      </c>
      <c r="E7" s="11" t="s">
        <v>81</v>
      </c>
      <c r="F7" s="13" t="n">
        <v>35</v>
      </c>
      <c r="G7" s="13" t="n">
        <f aca="false">COUNTIF(Columns!$B$5:$B$145,B7)</f>
        <v>10</v>
      </c>
      <c r="H7" s="11" t="s">
        <v>565</v>
      </c>
    </row>
    <row r="8" customFormat="false" ht="15" hidden="false" customHeight="false" outlineLevel="0" collapsed="false">
      <c r="A8" s="14" t="n">
        <v>4</v>
      </c>
      <c r="B8" s="15" t="s">
        <v>124</v>
      </c>
      <c r="C8" s="14" t="s">
        <v>563</v>
      </c>
      <c r="D8" s="14" t="s">
        <v>568</v>
      </c>
      <c r="E8" s="14" t="s">
        <v>125</v>
      </c>
      <c r="F8" s="16" t="n">
        <v>1245</v>
      </c>
      <c r="G8" s="16" t="n">
        <f aca="false">COUNTIF(Columns!$B$5:$B$145,B8)</f>
        <v>12</v>
      </c>
      <c r="H8" s="14" t="s">
        <v>565</v>
      </c>
    </row>
    <row r="9" customFormat="false" ht="15" hidden="false" customHeight="false" outlineLevel="0" collapsed="false">
      <c r="A9" s="11" t="n">
        <v>5</v>
      </c>
      <c r="B9" s="12" t="s">
        <v>176</v>
      </c>
      <c r="C9" s="11" t="s">
        <v>563</v>
      </c>
      <c r="D9" s="11" t="s">
        <v>569</v>
      </c>
      <c r="E9" s="11" t="s">
        <v>177</v>
      </c>
      <c r="F9" s="13" t="n">
        <v>10</v>
      </c>
      <c r="G9" s="13" t="n">
        <f aca="false">COUNTIF(Columns!$B$5:$B$145,B9)</f>
        <v>2</v>
      </c>
      <c r="H9" s="11" t="s">
        <v>565</v>
      </c>
    </row>
    <row r="10" customFormat="false" ht="15" hidden="false" customHeight="false" outlineLevel="0" collapsed="false">
      <c r="A10" s="14" t="n">
        <v>6</v>
      </c>
      <c r="B10" s="15" t="s">
        <v>184</v>
      </c>
      <c r="C10" s="14" t="s">
        <v>563</v>
      </c>
      <c r="D10" s="14" t="s">
        <v>570</v>
      </c>
      <c r="E10" s="14" t="s">
        <v>185</v>
      </c>
      <c r="F10" s="16" t="n">
        <v>1500</v>
      </c>
      <c r="G10" s="16" t="n">
        <f aca="false">COUNTIF(Columns!$B$5:$B$145,B10)</f>
        <v>12</v>
      </c>
      <c r="H10" s="14" t="s">
        <v>565</v>
      </c>
    </row>
    <row r="11" customFormat="false" ht="15" hidden="false" customHeight="false" outlineLevel="0" collapsed="false">
      <c r="A11" s="11" t="n">
        <v>7</v>
      </c>
      <c r="B11" s="12" t="s">
        <v>227</v>
      </c>
      <c r="C11" s="11" t="s">
        <v>563</v>
      </c>
      <c r="D11" s="11" t="s">
        <v>571</v>
      </c>
      <c r="E11" s="11" t="s">
        <v>228</v>
      </c>
      <c r="F11" s="13" t="n">
        <v>1000</v>
      </c>
      <c r="G11" s="13" t="n">
        <f aca="false">COUNTIF(Columns!$B$5:$B$145,B11)</f>
        <v>5</v>
      </c>
      <c r="H11" s="11" t="s">
        <v>565</v>
      </c>
    </row>
    <row r="12" customFormat="false" ht="15" hidden="false" customHeight="false" outlineLevel="0" collapsed="false">
      <c r="A12" s="14" t="n">
        <v>8</v>
      </c>
      <c r="B12" s="15" t="s">
        <v>245</v>
      </c>
      <c r="C12" s="14" t="s">
        <v>563</v>
      </c>
      <c r="D12" s="14" t="s">
        <v>572</v>
      </c>
      <c r="E12" s="14" t="s">
        <v>246</v>
      </c>
      <c r="F12" s="16" t="n">
        <v>3204</v>
      </c>
      <c r="G12" s="16" t="n">
        <f aca="false">COUNTIF(Columns!$B$5:$B$145,B12)</f>
        <v>5</v>
      </c>
      <c r="H12" s="14" t="s">
        <v>565</v>
      </c>
    </row>
    <row r="13" customFormat="false" ht="15" hidden="false" customHeight="false" outlineLevel="0" collapsed="false">
      <c r="A13" s="11" t="n">
        <v>9</v>
      </c>
      <c r="B13" s="12" t="s">
        <v>261</v>
      </c>
      <c r="C13" s="11" t="s">
        <v>573</v>
      </c>
      <c r="D13" s="11" t="s">
        <v>574</v>
      </c>
      <c r="E13" s="11" t="s">
        <v>262</v>
      </c>
      <c r="F13" s="13" t="n">
        <v>1000</v>
      </c>
      <c r="G13" s="13" t="n">
        <f aca="false">COUNTIF(Columns!$B$5:$B$145,B13)</f>
        <v>11</v>
      </c>
      <c r="H13" s="11" t="s">
        <v>565</v>
      </c>
    </row>
    <row r="14" customFormat="false" ht="15" hidden="false" customHeight="false" outlineLevel="0" collapsed="false">
      <c r="A14" s="14" t="n">
        <v>10</v>
      </c>
      <c r="B14" s="15" t="s">
        <v>297</v>
      </c>
      <c r="C14" s="14" t="s">
        <v>573</v>
      </c>
      <c r="D14" s="14" t="s">
        <v>575</v>
      </c>
      <c r="E14" s="14" t="s">
        <v>298</v>
      </c>
      <c r="F14" s="16" t="n">
        <v>1000</v>
      </c>
      <c r="G14" s="16" t="n">
        <f aca="false">COUNTIF(Columns!$B$5:$B$145,B14)</f>
        <v>13</v>
      </c>
      <c r="H14" s="14" t="s">
        <v>565</v>
      </c>
    </row>
    <row r="15" customFormat="false" ht="15" hidden="false" customHeight="false" outlineLevel="0" collapsed="false">
      <c r="A15" s="11" t="n">
        <v>11</v>
      </c>
      <c r="B15" s="12" t="s">
        <v>345</v>
      </c>
      <c r="C15" s="11" t="s">
        <v>573</v>
      </c>
      <c r="D15" s="11" t="s">
        <v>576</v>
      </c>
      <c r="E15" s="11" t="s">
        <v>346</v>
      </c>
      <c r="F15" s="13" t="n">
        <v>1000</v>
      </c>
      <c r="G15" s="13" t="n">
        <f aca="false">COUNTIF(Columns!$B$5:$B$145,B15)</f>
        <v>12</v>
      </c>
      <c r="H15" s="11" t="s">
        <v>565</v>
      </c>
    </row>
    <row r="16" customFormat="false" ht="15" hidden="false" customHeight="false" outlineLevel="0" collapsed="false">
      <c r="A16" s="14" t="n">
        <v>12</v>
      </c>
      <c r="B16" s="15" t="s">
        <v>392</v>
      </c>
      <c r="C16" s="14" t="s">
        <v>573</v>
      </c>
      <c r="D16" s="14" t="s">
        <v>577</v>
      </c>
      <c r="E16" s="14" t="s">
        <v>393</v>
      </c>
      <c r="F16" s="16" t="n">
        <v>45839</v>
      </c>
      <c r="G16" s="16" t="n">
        <f aca="false">COUNTIF(Columns!$B$5:$B$145,B16)</f>
        <v>14</v>
      </c>
      <c r="H16" s="14" t="s">
        <v>565</v>
      </c>
    </row>
    <row r="17" customFormat="false" ht="15" hidden="false" customHeight="false" outlineLevel="0" collapsed="false">
      <c r="A17" s="11" t="n">
        <v>13</v>
      </c>
      <c r="B17" s="12" t="s">
        <v>443</v>
      </c>
      <c r="C17" s="11" t="s">
        <v>573</v>
      </c>
      <c r="D17" s="11" t="s">
        <v>578</v>
      </c>
      <c r="E17" s="11" t="s">
        <v>444</v>
      </c>
      <c r="F17" s="13" t="n">
        <v>1300</v>
      </c>
      <c r="G17" s="13" t="n">
        <f aca="false">COUNTIF(Columns!$B$5:$B$145,B17)</f>
        <v>12</v>
      </c>
      <c r="H17" s="11" t="s">
        <v>565</v>
      </c>
    </row>
    <row r="18" customFormat="false" ht="15" hidden="false" customHeight="false" outlineLevel="0" collapsed="false">
      <c r="A18" s="14" t="n">
        <v>14</v>
      </c>
      <c r="B18" s="15" t="s">
        <v>482</v>
      </c>
      <c r="C18" s="14" t="s">
        <v>573</v>
      </c>
      <c r="D18" s="14" t="s">
        <v>579</v>
      </c>
      <c r="E18" s="14" t="s">
        <v>483</v>
      </c>
      <c r="F18" s="16" t="n">
        <v>3204</v>
      </c>
      <c r="G18" s="16" t="n">
        <f aca="false">COUNTIF(Columns!$B$5:$B$145,B18)</f>
        <v>17</v>
      </c>
      <c r="H18" s="14" t="s">
        <v>565</v>
      </c>
    </row>
    <row r="19" customFormat="false" ht="15" hidden="false" customHeight="false" outlineLevel="0" collapsed="false">
      <c r="A19" s="11" t="n">
        <v>15</v>
      </c>
      <c r="B19" s="12" t="s">
        <v>546</v>
      </c>
      <c r="C19" s="11" t="s">
        <v>573</v>
      </c>
      <c r="D19" s="11" t="s">
        <v>580</v>
      </c>
      <c r="E19" s="11" t="s">
        <v>581</v>
      </c>
      <c r="F19" s="13" t="n">
        <v>12000</v>
      </c>
      <c r="G19" s="13" t="n">
        <f aca="false">COUNTIF(Columns!$B$5:$B$145,B19)</f>
        <v>3</v>
      </c>
      <c r="H19" s="11" t="s">
        <v>565</v>
      </c>
    </row>
    <row r="20" customFormat="false" ht="15" hidden="false" customHeight="false" outlineLevel="0" collapsed="false">
      <c r="B20" s="17" t="s">
        <v>582</v>
      </c>
      <c r="F20" s="18" t="n">
        <f aca="false">SUM(F5:F19)</f>
        <v>78558</v>
      </c>
      <c r="G20" s="18" t="n">
        <f aca="false">SUM(G5:G19)</f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34"/>
    <col collapsed="false" customWidth="true" hidden="false" outlineLevel="0" max="4" min="4" style="0" width="70"/>
    <col collapsed="false" customWidth="true" hidden="false" outlineLevel="0" max="5" min="5" style="0" width="12"/>
    <col collapsed="false" customWidth="true" hidden="false" outlineLevel="0" max="6" min="6" style="0" width="56"/>
  </cols>
  <sheetData>
    <row r="1" customFormat="false" ht="17.35" hidden="false" customHeight="false" outlineLevel="0" collapsed="false">
      <c r="A1" s="8" t="s">
        <v>583</v>
      </c>
    </row>
    <row r="2" customFormat="false" ht="15" hidden="false" customHeight="false" outlineLevel="0" collapsed="false">
      <c r="A2" s="9" t="s">
        <v>584</v>
      </c>
    </row>
    <row r="4" customFormat="false" ht="30" hidden="false" customHeight="true" outlineLevel="0" collapsed="false">
      <c r="A4" s="10" t="s">
        <v>21</v>
      </c>
      <c r="B4" s="10" t="s">
        <v>22</v>
      </c>
      <c r="C4" s="10" t="s">
        <v>23</v>
      </c>
      <c r="D4" s="10" t="s">
        <v>585</v>
      </c>
      <c r="E4" s="10" t="s">
        <v>586</v>
      </c>
      <c r="F4" s="10" t="s">
        <v>587</v>
      </c>
    </row>
    <row r="5" customFormat="false" ht="15" hidden="false" customHeight="false" outlineLevel="0" collapsed="false">
      <c r="A5" s="11" t="n">
        <v>1</v>
      </c>
      <c r="B5" s="11" t="s">
        <v>261</v>
      </c>
      <c r="C5" s="11" t="s">
        <v>188</v>
      </c>
      <c r="D5" s="11" t="s">
        <v>588</v>
      </c>
      <c r="E5" s="11" t="s">
        <v>589</v>
      </c>
      <c r="F5" s="11" t="s">
        <v>590</v>
      </c>
    </row>
    <row r="6" customFormat="false" ht="15" hidden="false" customHeight="false" outlineLevel="0" collapsed="false">
      <c r="A6" s="14" t="n">
        <v>2</v>
      </c>
      <c r="B6" s="14" t="s">
        <v>392</v>
      </c>
      <c r="C6" s="14" t="s">
        <v>411</v>
      </c>
      <c r="D6" s="14" t="s">
        <v>591</v>
      </c>
      <c r="E6" s="14" t="s">
        <v>589</v>
      </c>
      <c r="F6" s="14" t="s">
        <v>590</v>
      </c>
    </row>
    <row r="7" customFormat="false" ht="15" hidden="false" customHeight="false" outlineLevel="0" collapsed="false">
      <c r="A7" s="11" t="n">
        <v>3</v>
      </c>
      <c r="B7" s="11" t="s">
        <v>592</v>
      </c>
      <c r="C7" s="11" t="s">
        <v>231</v>
      </c>
      <c r="D7" s="11" t="s">
        <v>593</v>
      </c>
      <c r="E7" s="11" t="s">
        <v>594</v>
      </c>
      <c r="F7" s="11" t="s">
        <v>595</v>
      </c>
    </row>
    <row r="8" customFormat="false" ht="23.85" hidden="false" customHeight="false" outlineLevel="0" collapsed="false">
      <c r="A8" s="14" t="n">
        <v>4</v>
      </c>
      <c r="B8" s="14" t="s">
        <v>596</v>
      </c>
      <c r="C8" s="14" t="s">
        <v>46</v>
      </c>
      <c r="D8" s="14" t="s">
        <v>597</v>
      </c>
      <c r="E8" s="14" t="s">
        <v>598</v>
      </c>
      <c r="F8" s="14" t="s">
        <v>599</v>
      </c>
    </row>
    <row r="9" customFormat="false" ht="15" hidden="false" customHeight="false" outlineLevel="0" collapsed="false">
      <c r="A9" s="11" t="n">
        <v>5</v>
      </c>
      <c r="B9" s="11" t="s">
        <v>443</v>
      </c>
      <c r="C9" s="11" t="s">
        <v>460</v>
      </c>
      <c r="D9" s="11" t="s">
        <v>600</v>
      </c>
      <c r="E9" s="11" t="s">
        <v>601</v>
      </c>
      <c r="F9" s="11" t="s">
        <v>602</v>
      </c>
    </row>
    <row r="10" customFormat="false" ht="15" hidden="false" customHeight="false" outlineLevel="0" collapsed="false">
      <c r="A10" s="14" t="n">
        <v>6</v>
      </c>
      <c r="B10" s="14" t="s">
        <v>297</v>
      </c>
      <c r="C10" s="14" t="s">
        <v>264</v>
      </c>
      <c r="D10" s="14" t="s">
        <v>603</v>
      </c>
      <c r="E10" s="14" t="s">
        <v>604</v>
      </c>
      <c r="F10" s="14" t="s">
        <v>605</v>
      </c>
    </row>
    <row r="11" customFormat="false" ht="15" hidden="false" customHeight="false" outlineLevel="0" collapsed="false">
      <c r="A11" s="11" t="n">
        <v>7</v>
      </c>
      <c r="B11" s="11" t="s">
        <v>345</v>
      </c>
      <c r="C11" s="11" t="s">
        <v>355</v>
      </c>
      <c r="D11" s="11" t="s">
        <v>606</v>
      </c>
      <c r="E11" s="11" t="s">
        <v>607</v>
      </c>
      <c r="F11" s="11" t="s">
        <v>608</v>
      </c>
    </row>
    <row r="12" customFormat="false" ht="15" hidden="false" customHeight="false" outlineLevel="0" collapsed="false">
      <c r="A12" s="14" t="n">
        <v>8</v>
      </c>
      <c r="B12" s="14" t="s">
        <v>80</v>
      </c>
      <c r="C12" s="14" t="s">
        <v>609</v>
      </c>
      <c r="D12" s="14" t="s">
        <v>610</v>
      </c>
      <c r="E12" s="14" t="s">
        <v>611</v>
      </c>
      <c r="F12" s="14" t="s">
        <v>612</v>
      </c>
    </row>
    <row r="13" customFormat="false" ht="15" hidden="false" customHeight="false" outlineLevel="0" collapsed="false">
      <c r="A13" s="11" t="n">
        <v>9</v>
      </c>
      <c r="B13" s="11" t="s">
        <v>392</v>
      </c>
      <c r="C13" s="11" t="s">
        <v>613</v>
      </c>
      <c r="D13" s="11" t="s">
        <v>614</v>
      </c>
      <c r="E13" s="11" t="s">
        <v>615</v>
      </c>
      <c r="F13" s="11" t="s">
        <v>616</v>
      </c>
    </row>
    <row r="14" customFormat="false" ht="23.85" hidden="false" customHeight="false" outlineLevel="0" collapsed="false">
      <c r="A14" s="14" t="n">
        <v>10</v>
      </c>
      <c r="B14" s="14" t="s">
        <v>392</v>
      </c>
      <c r="C14" s="14" t="s">
        <v>617</v>
      </c>
      <c r="D14" s="14" t="s">
        <v>618</v>
      </c>
      <c r="E14" s="14" t="s">
        <v>615</v>
      </c>
      <c r="F14" s="14" t="s">
        <v>619</v>
      </c>
    </row>
    <row r="15" customFormat="false" ht="15" hidden="false" customHeight="false" outlineLevel="0" collapsed="false">
      <c r="A15" s="11" t="n">
        <v>11</v>
      </c>
      <c r="B15" s="11" t="s">
        <v>184</v>
      </c>
      <c r="C15" s="11" t="s">
        <v>214</v>
      </c>
      <c r="D15" s="11" t="s">
        <v>620</v>
      </c>
      <c r="E15" s="11" t="s">
        <v>621</v>
      </c>
      <c r="F15" s="11" t="s">
        <v>622</v>
      </c>
    </row>
    <row r="16" customFormat="false" ht="15" hidden="false" customHeight="false" outlineLevel="0" collapsed="false">
      <c r="A16" s="14" t="n">
        <v>12</v>
      </c>
      <c r="B16" s="14" t="s">
        <v>261</v>
      </c>
      <c r="C16" s="14" t="s">
        <v>292</v>
      </c>
      <c r="D16" s="14" t="s">
        <v>623</v>
      </c>
      <c r="E16" s="14" t="s">
        <v>621</v>
      </c>
      <c r="F16" s="14" t="s">
        <v>624</v>
      </c>
    </row>
    <row r="17" customFormat="false" ht="15" hidden="false" customHeight="false" outlineLevel="0" collapsed="false">
      <c r="A17" s="11" t="n">
        <v>13</v>
      </c>
      <c r="B17" s="11" t="s">
        <v>443</v>
      </c>
      <c r="C17" s="11" t="s">
        <v>625</v>
      </c>
      <c r="D17" s="11" t="s">
        <v>626</v>
      </c>
      <c r="E17" s="11" t="s">
        <v>627</v>
      </c>
      <c r="F17" s="11" t="s">
        <v>628</v>
      </c>
    </row>
    <row r="18" customFormat="false" ht="35.05" hidden="false" customHeight="false" outlineLevel="0" collapsed="false">
      <c r="A18" s="14" t="n">
        <v>14</v>
      </c>
      <c r="B18" s="14" t="s">
        <v>297</v>
      </c>
      <c r="C18" s="14" t="s">
        <v>629</v>
      </c>
      <c r="D18" s="14" t="s">
        <v>630</v>
      </c>
      <c r="E18" s="14" t="s">
        <v>631</v>
      </c>
      <c r="F18" s="14" t="s">
        <v>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2026-10-15T13:43:42Z</dcterms:created>
  <dc:creator>openpyxl</dc:creator>
  <dc:description/>
  <dc:language>en-US</dc:language>
  <cp:lastModifiedBy/>
  <dcterms:modified xsi:type="dcterms:W3CDTF">2026-10-15T13:43:42Z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